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Expense Tracker" sheetId="3" state="visible" r:id="rId3"/>
    <sheet xmlns:r="http://schemas.openxmlformats.org/officeDocument/2006/relationships" name="Bills Tracker" sheetId="4" state="visible" r:id="rId4"/>
    <sheet xmlns:r="http://schemas.openxmlformats.org/officeDocument/2006/relationships" name="Debt Tracker" sheetId="5" state="visible" r:id="rId5"/>
    <sheet xmlns:r="http://schemas.openxmlformats.org/officeDocument/2006/relationships" name="Savings Tracker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4">
    <font>
      <name val="Calibri"/>
      <family val="2"/>
      <color theme="1"/>
      <sz val="11"/>
      <scheme val="minor"/>
    </font>
    <font>
      <b val="1"/>
      <color rgb="002F5496"/>
      <sz val="18"/>
    </font>
    <font>
      <b val="1"/>
      <color rgb="002F5496"/>
      <sz val="13"/>
    </font>
    <font>
      <sz val="10"/>
    </font>
    <font>
      <b val="1"/>
      <color rgb="002F5496"/>
      <sz val="11"/>
    </font>
    <font>
      <b val="1"/>
      <color rgb="002F5496"/>
      <sz val="10"/>
    </font>
    <font>
      <b val="1"/>
      <color rgb="00CC0000"/>
      <sz val="10"/>
    </font>
    <font>
      <b val="1"/>
      <color rgb="00CC0000"/>
      <sz val="11"/>
    </font>
    <font>
      <i val="1"/>
      <color rgb="00666666"/>
      <sz val="9"/>
    </font>
    <font>
      <b val="1"/>
      <color rgb="00FFFFFF"/>
      <sz val="12"/>
    </font>
    <font>
      <b val="1"/>
      <color rgb="002F5496"/>
      <sz val="16"/>
    </font>
    <font>
      <color rgb="000563C1"/>
      <sz val="10"/>
    </font>
    <font>
      <color rgb="000563C1"/>
      <sz val="9"/>
    </font>
    <font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4" borderId="1" pivotButton="0" quotePrefix="0" xfId="0"/>
    <xf numFmtId="3" fontId="0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3" fillId="0" borderId="1" pivotButton="0" quotePrefix="0" xfId="0"/>
    <xf numFmtId="0" fontId="3" fillId="5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3" fillId="6" borderId="1" pivotButton="0" quotePrefix="0" xfId="0"/>
    <xf numFmtId="164" fontId="3" fillId="6" borderId="1" pivotButton="0" quotePrefix="0" xfId="0"/>
    <xf numFmtId="3" fontId="3" fillId="6" borderId="1" pivotButton="0" quotePrefix="0" xfId="0"/>
    <xf numFmtId="3" fontId="3" fillId="4" borderId="1" pivotButton="0" quotePrefix="0" xfId="0"/>
    <xf numFmtId="9" fontId="3" fillId="4" borderId="1" pivotButton="0" quotePrefix="0" xfId="0"/>
    <xf numFmtId="9" fontId="3" fillId="5" borderId="1" pivotButton="0" quotePrefix="0" xfId="0"/>
    <xf numFmtId="0" fontId="10" fillId="0" borderId="0" pivotButton="0" quotePrefix="0" xfId="0"/>
    <xf numFmtId="3" fontId="0" fillId="0" borderId="1" pivotButton="0" quotePrefix="0" xfId="0"/>
    <xf numFmtId="9" fontId="0" fillId="0" borderId="1" pivotButton="0" quotePrefix="0" xfId="0"/>
    <xf numFmtId="0" fontId="9" fillId="2" borderId="0" pivotButton="0" quotePrefix="0" xfId="0"/>
    <xf numFmtId="3" fontId="3" fillId="0" borderId="0" pivotButton="0" quotePrefix="0" xfId="0"/>
    <xf numFmtId="164" fontId="3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3" fontId="4" fillId="5" borderId="1" pivotButton="0" quotePrefix="0" xfId="0"/>
    <xf numFmtId="9" fontId="0" fillId="5" borderId="1" pivotButton="0" quotePrefix="0" xfId="0"/>
    <xf numFmtId="0" fontId="0" fillId="5" borderId="1" pivotButton="0" quotePrefix="0" xfId="0"/>
    <xf numFmtId="3" fontId="3" fillId="5" borderId="0" pivotButton="0" quotePrefix="0" xfId="0"/>
    <xf numFmtId="0" fontId="8" fillId="0" borderId="0" applyAlignment="1" pivotButton="0" quotePrefix="0" xfId="0">
      <alignment wrapText="1"/>
    </xf>
    <xf numFmtId="0" fontId="1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EC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'Dashboard'!$A$22:$A$35</f>
            </numRef>
          </cat>
          <val>
            <numRef>
              <f>'Dashboard'!$B$22:$B$35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 vs Savings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'Dashboard'!$A$39:$A$41</f>
            </numRef>
          </cat>
          <val>
            <numRef>
              <f>'Dashboard'!$B$39:$B$41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Budget Planner &amp; Expense Tracker</t>
        </is>
      </c>
    </row>
    <row r="2">
      <c r="A2" s="2" t="inlineStr">
        <is>
          <t>Quick Start Guide</t>
        </is>
      </c>
    </row>
    <row r="3"/>
    <row r="4">
      <c r="A4" s="3" t="inlineStr"/>
      <c r="B4" s="4" t="inlineStr"/>
    </row>
    <row r="5">
      <c r="A5" s="5" t="inlineStr">
        <is>
          <t>HOW TO USE THIS SPREADSHEET</t>
        </is>
      </c>
      <c r="B5" s="4" t="inlineStr"/>
    </row>
    <row r="6">
      <c r="A6" s="3" t="inlineStr"/>
      <c r="B6" s="4" t="inlineStr"/>
    </row>
    <row r="7">
      <c r="A7" s="6" t="inlineStr">
        <is>
          <t>Step 1: Set Your Budget</t>
        </is>
      </c>
      <c r="B7" s="4" t="inlineStr">
        <is>
          <t>Go to the Monthly Budget tab and enter your planned income and expenses.</t>
        </is>
      </c>
    </row>
    <row r="8">
      <c r="A8" s="6" t="inlineStr">
        <is>
          <t>Step 2: Log Expenses</t>
        </is>
      </c>
      <c r="B8" s="4" t="inlineStr">
        <is>
          <t>Go to the Expense Tracker tab and add each expense as it happens.</t>
        </is>
      </c>
    </row>
    <row r="9">
      <c r="A9" s="6" t="inlineStr">
        <is>
          <t>Step 3: Track Bills</t>
        </is>
      </c>
      <c r="B9" s="4" t="inlineStr">
        <is>
          <t>Use the Bills Tracker tab to record recurring bills and mark them paid.</t>
        </is>
      </c>
    </row>
    <row r="10">
      <c r="A10" s="6" t="inlineStr">
        <is>
          <t>Step 4: Monitor Debt</t>
        </is>
      </c>
      <c r="B10" s="4" t="inlineStr">
        <is>
          <t>Enter your debts in the Debt Tracker tab and track payoff progress.</t>
        </is>
      </c>
    </row>
    <row r="11">
      <c r="A11" s="6" t="inlineStr">
        <is>
          <t>Step 5: Set Savings Goals</t>
        </is>
      </c>
      <c r="B11" s="4" t="inlineStr">
        <is>
          <t>Use the Savings Tracker tab to set and track savings goals.</t>
        </is>
      </c>
    </row>
    <row r="12">
      <c r="A12" s="6" t="inlineStr">
        <is>
          <t>Step 6: View Dashboard</t>
        </is>
      </c>
      <c r="B12" s="4" t="inlineStr">
        <is>
          <t>Go to the Dashboard tab to see your complete financial picture.</t>
        </is>
      </c>
    </row>
    <row r="13">
      <c r="A13" s="3" t="inlineStr"/>
      <c r="B13" s="4" t="inlineStr"/>
    </row>
    <row r="14">
      <c r="A14" s="5" t="inlineStr">
        <is>
          <t>CURRENCY NOTE</t>
        </is>
      </c>
      <c r="B14" s="4" t="inlineStr">
        <is>
          <t>All amounts are in USD by default. Change the number format to your local currency.</t>
        </is>
      </c>
    </row>
    <row r="15">
      <c r="A15" s="3" t="inlineStr"/>
      <c r="B15" s="4" t="inlineStr"/>
    </row>
    <row r="16">
      <c r="A16" s="7" t="inlineStr">
        <is>
          <t>IMPORTANT WARNINGS</t>
        </is>
      </c>
      <c r="B16" s="4" t="inlineStr"/>
    </row>
    <row r="17">
      <c r="A17" s="3" t="inlineStr"/>
      <c r="B17" s="4" t="inlineStr">
        <is>
          <t>- Do NOT edit cells with gray background (formula cells). They contain auto-calculations.</t>
        </is>
      </c>
    </row>
    <row r="18">
      <c r="A18" s="3" t="inlineStr"/>
      <c r="B18" s="4" t="inlineStr">
        <is>
          <t>- Only edit white or green-background input cells.</t>
        </is>
      </c>
    </row>
    <row r="19">
      <c r="A19" s="3" t="inlineStr"/>
      <c r="B19" s="4" t="inlineStr">
        <is>
          <t>- Keep category names consistent across tabs for formulas to work correctly.</t>
        </is>
      </c>
    </row>
    <row r="20">
      <c r="A20" s="3" t="inlineStr"/>
      <c r="B20" s="4" t="inlineStr">
        <is>
          <t>- Clear sample data before starting your own budget (delete rows in each tab).</t>
        </is>
      </c>
    </row>
    <row r="21">
      <c r="A21" s="3" t="inlineStr"/>
      <c r="B21" s="4" t="inlineStr"/>
    </row>
    <row r="22">
      <c r="A22" s="5" t="inlineStr">
        <is>
          <t>SETUP CHECKLIST</t>
        </is>
      </c>
      <c r="B22" s="4" t="inlineStr"/>
    </row>
    <row r="23">
      <c r="A23" s="3" t="inlineStr"/>
      <c r="B23" s="4" t="inlineStr">
        <is>
          <t>[ ] Go to Monthly Budget and enter your planned amounts</t>
        </is>
      </c>
    </row>
    <row r="24">
      <c r="A24" s="3" t="inlineStr"/>
      <c r="B24" s="4" t="inlineStr">
        <is>
          <t>[ ] Review category names and customize if needed</t>
        </is>
      </c>
    </row>
    <row r="25">
      <c r="A25" s="3" t="inlineStr"/>
      <c r="B25" s="4" t="inlineStr">
        <is>
          <t>[ ] Clear sample data from Expense Tracker</t>
        </is>
      </c>
    </row>
    <row r="26">
      <c r="A26" s="3" t="inlineStr"/>
      <c r="B26" s="4" t="inlineStr">
        <is>
          <t>[ ] Clear sample data from Bills Tracker</t>
        </is>
      </c>
    </row>
    <row r="27">
      <c r="A27" s="3" t="inlineStr"/>
      <c r="B27" s="4" t="inlineStr">
        <is>
          <t>[ ] Clear sample data from Debt Tracker</t>
        </is>
      </c>
    </row>
    <row r="28">
      <c r="A28" s="3" t="inlineStr"/>
      <c r="B28" s="4" t="inlineStr">
        <is>
          <t>[ ] Clear sample data from Savings Tracker</t>
        </is>
      </c>
    </row>
    <row r="29">
      <c r="A29" s="3" t="inlineStr"/>
      <c r="B29" s="4" t="inlineStr">
        <is>
          <t>[ ] Check Dashboard to confirm values update correctly</t>
        </is>
      </c>
    </row>
    <row r="30"/>
    <row r="31">
      <c r="A31" s="8" t="inlineStr">
        <is>
          <t>Support: If you find a broken formula or have questions, contact the seller. Digital products are non-refundable.</t>
        </is>
      </c>
    </row>
    <row r="32"/>
    <row r="33">
      <c r="A33" s="5" t="inlineStr">
        <is>
          <t>NAVIGATION</t>
        </is>
      </c>
      <c r="B33" s="39" t="inlineStr">
        <is>
          <t>Click the sheet tabs at the bottom to switch sections.</t>
        </is>
      </c>
    </row>
    <row r="34">
      <c r="A34" s="40" t="inlineStr">
        <is>
          <t xml:space="preserve">    Monthly Budget</t>
        </is>
      </c>
    </row>
    <row r="35">
      <c r="A35" s="40" t="inlineStr">
        <is>
          <t xml:space="preserve">    Expense Tracker</t>
        </is>
      </c>
    </row>
    <row r="36">
      <c r="A36" s="40" t="inlineStr">
        <is>
          <t xml:space="preserve">    Bills Tracker</t>
        </is>
      </c>
    </row>
    <row r="37">
      <c r="A37" s="40" t="inlineStr">
        <is>
          <t xml:space="preserve">    Debt Tracker</t>
        </is>
      </c>
    </row>
    <row r="38">
      <c r="A38" s="40" t="inlineStr">
        <is>
          <t xml:space="preserve">    Savings Tracker</t>
        </is>
      </c>
    </row>
    <row r="39">
      <c r="A39" s="40" t="inlineStr">
        <is>
          <t xml:space="preserve">    Dashboard</t>
        </is>
      </c>
    </row>
    <row r="40">
      <c r="A40" s="39" t="inlineStr">
        <is>
          <t>Tip: In Google Sheets, use the sheet tabs at the bottom to navigate.</t>
        </is>
      </c>
    </row>
  </sheetData>
  <mergeCells count="3">
    <mergeCell ref="A31:B3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Category</t>
        </is>
      </c>
      <c r="B1" s="9" t="inlineStr">
        <is>
          <t>Type</t>
        </is>
      </c>
      <c r="C1" s="9" t="inlineStr">
        <is>
          <t>Planned Amount</t>
        </is>
      </c>
      <c r="D1" s="9" t="inlineStr">
        <is>
          <t>Actual Amount</t>
        </is>
      </c>
      <c r="E1" s="9" t="inlineStr">
        <is>
          <t>Difference</t>
        </is>
      </c>
      <c r="F1" s="9" t="inlineStr">
        <is>
          <t>Notes</t>
        </is>
      </c>
      <c r="G1" s="8" t="inlineStr">
        <is>
          <t>&lt;-- Go to Start Here tab for instructions</t>
        </is>
      </c>
    </row>
    <row r="2">
      <c r="A2" s="10" t="inlineStr">
        <is>
          <t>INCOME</t>
        </is>
      </c>
    </row>
    <row r="3">
      <c r="A3" s="12" t="inlineStr">
        <is>
          <t>Salary</t>
        </is>
      </c>
      <c r="B3" s="12" t="inlineStr">
        <is>
          <t>Income</t>
        </is>
      </c>
      <c r="C3" s="13" t="n">
        <v>4500</v>
      </c>
      <c r="D3" s="14">
        <f>SUMIF('Expense Tracker'!C:C,A3,'Expense Tracker'!G:G)</f>
        <v/>
      </c>
      <c r="E3" s="14">
        <f>C3-D3</f>
        <v/>
      </c>
      <c r="F3" s="12" t="n"/>
    </row>
    <row r="4">
      <c r="A4" s="12" t="inlineStr">
        <is>
          <t>Freelance</t>
        </is>
      </c>
      <c r="B4" s="12" t="inlineStr">
        <is>
          <t>Income</t>
        </is>
      </c>
      <c r="C4" s="13" t="n">
        <v>800</v>
      </c>
      <c r="D4" s="14">
        <f>SUMIF('Expense Tracker'!C:C,A4,'Expense Tracker'!G:G)</f>
        <v/>
      </c>
      <c r="E4" s="14">
        <f>C4-D4</f>
        <v/>
      </c>
      <c r="F4" s="12" t="n"/>
    </row>
    <row r="5">
      <c r="A5" s="12" t="inlineStr">
        <is>
          <t>Side Hustle</t>
        </is>
      </c>
      <c r="B5" s="12" t="inlineStr">
        <is>
          <t>Income</t>
        </is>
      </c>
      <c r="C5" s="13" t="n">
        <v>200</v>
      </c>
      <c r="D5" s="14">
        <f>SUMIF('Expense Tracker'!C:C,A5,'Expense Tracker'!G:G)</f>
        <v/>
      </c>
      <c r="E5" s="14">
        <f>C5-D5</f>
        <v/>
      </c>
      <c r="F5" s="12" t="n"/>
    </row>
    <row r="6">
      <c r="A6" s="15" t="inlineStr">
        <is>
          <t>Total Income</t>
        </is>
      </c>
      <c r="B6" s="15" t="n"/>
      <c r="C6" s="16">
        <f>SUM(C3:C5)</f>
        <v/>
      </c>
      <c r="D6" s="35">
        <f>SUM(D3:D5)</f>
        <v/>
      </c>
      <c r="E6" s="35">
        <f>C6-D6</f>
        <v/>
      </c>
      <c r="F6" s="15" t="n"/>
    </row>
    <row r="7"/>
    <row r="8">
      <c r="A8" s="10" t="inlineStr">
        <is>
          <t>EXPENSES</t>
        </is>
      </c>
    </row>
    <row r="9">
      <c r="A9" s="12" t="inlineStr">
        <is>
          <t>Housing</t>
        </is>
      </c>
      <c r="B9" s="12" t="inlineStr">
        <is>
          <t>Expense</t>
        </is>
      </c>
      <c r="C9" s="13" t="n">
        <v>1200</v>
      </c>
      <c r="D9" s="14">
        <f>SUMIF('Expense Tracker'!C:C,A9,'Expense Tracker'!G:G)</f>
        <v/>
      </c>
      <c r="E9" s="14">
        <f>C9-D9</f>
        <v/>
      </c>
      <c r="F9" s="12" t="n"/>
    </row>
    <row r="10">
      <c r="A10" s="12" t="inlineStr">
        <is>
          <t>Utilities</t>
        </is>
      </c>
      <c r="B10" s="12" t="inlineStr">
        <is>
          <t>Expense</t>
        </is>
      </c>
      <c r="C10" s="13" t="n">
        <v>200</v>
      </c>
      <c r="D10" s="14">
        <f>SUMIF('Expense Tracker'!C:C,A10,'Expense Tracker'!G:G)</f>
        <v/>
      </c>
      <c r="E10" s="14">
        <f>C10-D10</f>
        <v/>
      </c>
      <c r="F10" s="12" t="n"/>
    </row>
    <row r="11">
      <c r="A11" s="12" t="inlineStr">
        <is>
          <t>Groceries</t>
        </is>
      </c>
      <c r="B11" s="12" t="inlineStr">
        <is>
          <t>Expense</t>
        </is>
      </c>
      <c r="C11" s="13" t="n">
        <v>400</v>
      </c>
      <c r="D11" s="14">
        <f>SUMIF('Expense Tracker'!C:C,A11,'Expense Tracker'!G:G)</f>
        <v/>
      </c>
      <c r="E11" s="14">
        <f>C11-D11</f>
        <v/>
      </c>
      <c r="F11" s="12" t="n"/>
    </row>
    <row r="12">
      <c r="A12" s="12" t="inlineStr">
        <is>
          <t>Transport</t>
        </is>
      </c>
      <c r="B12" s="12" t="inlineStr">
        <is>
          <t>Expense</t>
        </is>
      </c>
      <c r="C12" s="13" t="n">
        <v>150</v>
      </c>
      <c r="D12" s="14">
        <f>SUMIF('Expense Tracker'!C:C,A12,'Expense Tracker'!G:G)</f>
        <v/>
      </c>
      <c r="E12" s="14">
        <f>C12-D12</f>
        <v/>
      </c>
      <c r="F12" s="12" t="n"/>
    </row>
    <row r="13">
      <c r="A13" s="12" t="inlineStr">
        <is>
          <t>Insurance</t>
        </is>
      </c>
      <c r="B13" s="12" t="inlineStr">
        <is>
          <t>Expense</t>
        </is>
      </c>
      <c r="C13" s="13" t="n">
        <v>150</v>
      </c>
      <c r="D13" s="14">
        <f>SUMIF('Expense Tracker'!C:C,A13,'Expense Tracker'!G:G)</f>
        <v/>
      </c>
      <c r="E13" s="14">
        <f>C13-D13</f>
        <v/>
      </c>
      <c r="F13" s="12" t="n"/>
    </row>
    <row r="14">
      <c r="A14" s="12" t="inlineStr">
        <is>
          <t>Healthcare</t>
        </is>
      </c>
      <c r="B14" s="12" t="inlineStr">
        <is>
          <t>Expense</t>
        </is>
      </c>
      <c r="C14" s="13" t="n">
        <v>100</v>
      </c>
      <c r="D14" s="14">
        <f>SUMIF('Expense Tracker'!C:C,A14,'Expense Tracker'!G:G)</f>
        <v/>
      </c>
      <c r="E14" s="14">
        <f>C14-D14</f>
        <v/>
      </c>
      <c r="F14" s="12" t="n"/>
    </row>
    <row r="15">
      <c r="A15" s="12" t="inlineStr">
        <is>
          <t>Entertainment</t>
        </is>
      </c>
      <c r="B15" s="12" t="inlineStr">
        <is>
          <t>Expense</t>
        </is>
      </c>
      <c r="C15" s="13" t="n">
        <v>100</v>
      </c>
      <c r="D15" s="14">
        <f>SUMIF('Expense Tracker'!C:C,A15,'Expense Tracker'!G:G)</f>
        <v/>
      </c>
      <c r="E15" s="14">
        <f>C15-D15</f>
        <v/>
      </c>
      <c r="F15" s="12" t="n"/>
    </row>
    <row r="16">
      <c r="A16" s="12" t="inlineStr">
        <is>
          <t>Dining Out</t>
        </is>
      </c>
      <c r="B16" s="12" t="inlineStr">
        <is>
          <t>Expense</t>
        </is>
      </c>
      <c r="C16" s="13" t="n">
        <v>150</v>
      </c>
      <c r="D16" s="14">
        <f>SUMIF('Expense Tracker'!C:C,A16,'Expense Tracker'!G:G)</f>
        <v/>
      </c>
      <c r="E16" s="14">
        <f>C16-D16</f>
        <v/>
      </c>
      <c r="F16" s="12" t="n"/>
    </row>
    <row r="17">
      <c r="A17" s="12" t="inlineStr">
        <is>
          <t>Shopping</t>
        </is>
      </c>
      <c r="B17" s="12" t="inlineStr">
        <is>
          <t>Expense</t>
        </is>
      </c>
      <c r="C17" s="13" t="n">
        <v>100</v>
      </c>
      <c r="D17" s="14">
        <f>SUMIF('Expense Tracker'!C:C,A17,'Expense Tracker'!G:G)</f>
        <v/>
      </c>
      <c r="E17" s="14">
        <f>C17-D17</f>
        <v/>
      </c>
      <c r="F17" s="12" t="n"/>
    </row>
    <row r="18">
      <c r="A18" s="12" t="inlineStr">
        <is>
          <t>Subscriptions</t>
        </is>
      </c>
      <c r="B18" s="12" t="inlineStr">
        <is>
          <t>Expense</t>
        </is>
      </c>
      <c r="C18" s="13" t="n">
        <v>50</v>
      </c>
      <c r="D18" s="14">
        <f>SUMIF('Expense Tracker'!C:C,A18,'Expense Tracker'!G:G)</f>
        <v/>
      </c>
      <c r="E18" s="14">
        <f>C18-D18</f>
        <v/>
      </c>
      <c r="F18" s="12" t="n"/>
    </row>
    <row r="19">
      <c r="A19" s="12" t="inlineStr">
        <is>
          <t>Education</t>
        </is>
      </c>
      <c r="B19" s="12" t="inlineStr">
        <is>
          <t>Expense</t>
        </is>
      </c>
      <c r="C19" s="13" t="n">
        <v>80</v>
      </c>
      <c r="D19" s="14">
        <f>SUMIF('Expense Tracker'!C:C,A19,'Expense Tracker'!G:G)</f>
        <v/>
      </c>
      <c r="E19" s="14">
        <f>C19-D19</f>
        <v/>
      </c>
      <c r="F19" s="12" t="n"/>
    </row>
    <row r="20">
      <c r="A20" s="12" t="inlineStr">
        <is>
          <t>Debt Payments</t>
        </is>
      </c>
      <c r="B20" s="12" t="inlineStr">
        <is>
          <t>Expense</t>
        </is>
      </c>
      <c r="C20" s="13" t="n">
        <v>200</v>
      </c>
      <c r="D20" s="14">
        <f>SUMIF('Expense Tracker'!C:C,A20,'Expense Tracker'!G:G)</f>
        <v/>
      </c>
      <c r="E20" s="14">
        <f>C20-D20</f>
        <v/>
      </c>
      <c r="F20" s="12" t="n"/>
    </row>
    <row r="21">
      <c r="A21" s="12" t="inlineStr">
        <is>
          <t>Miscellaneous</t>
        </is>
      </c>
      <c r="B21" s="12" t="inlineStr">
        <is>
          <t>Expense</t>
        </is>
      </c>
      <c r="C21" s="13" t="n">
        <v>100</v>
      </c>
      <c r="D21" s="14">
        <f>SUMIF('Expense Tracker'!C:C,A21,'Expense Tracker'!G:G)</f>
        <v/>
      </c>
      <c r="E21" s="14">
        <f>C21-D21</f>
        <v/>
      </c>
      <c r="F21" s="12" t="n"/>
    </row>
    <row r="22">
      <c r="A22" s="15" t="inlineStr">
        <is>
          <t>Total Expenses</t>
        </is>
      </c>
      <c r="B22" s="15" t="n"/>
      <c r="C22" s="16">
        <f>SUM(C9:C21)</f>
        <v/>
      </c>
      <c r="D22" s="35">
        <f>SUM(D9:D21)</f>
        <v/>
      </c>
      <c r="E22" s="35">
        <f>C22-D22</f>
        <v/>
      </c>
      <c r="F22" s="15" t="n"/>
    </row>
    <row r="23"/>
    <row r="24">
      <c r="A24" s="10" t="inlineStr">
        <is>
          <t>SAVINGS</t>
        </is>
      </c>
    </row>
    <row r="25">
      <c r="A25" s="12" t="inlineStr">
        <is>
          <t>Emergency Fund</t>
        </is>
      </c>
      <c r="B25" s="12" t="inlineStr">
        <is>
          <t>Savings</t>
        </is>
      </c>
      <c r="C25" s="13" t="n">
        <v>500</v>
      </c>
      <c r="D25" s="14">
        <f>SUMIF('Expense Tracker'!C:C,A25,'Expense Tracker'!G:G)</f>
        <v/>
      </c>
      <c r="E25" s="14">
        <f>C25-D25</f>
        <v/>
      </c>
      <c r="F25" s="12" t="n"/>
    </row>
    <row r="26">
      <c r="A26" s="15" t="inlineStr">
        <is>
          <t>Total Savings</t>
        </is>
      </c>
      <c r="B26" s="15" t="n"/>
      <c r="C26" s="16">
        <f>SUM(C25:C25)</f>
        <v/>
      </c>
      <c r="D26" s="35">
        <f>SUM(D25:D25)</f>
        <v/>
      </c>
      <c r="E26" s="35">
        <f>C26-D26</f>
        <v/>
      </c>
      <c r="F26" s="15" t="n"/>
    </row>
  </sheetData>
  <mergeCells count="3">
    <mergeCell ref="A8:F8"/>
    <mergeCell ref="A2:F2"/>
    <mergeCell ref="A24:F24"/>
  </mergeCells>
  <conditionalFormatting sqref="E2:E26">
    <cfRule type="cellIs" priority="1" operator="lessThan" dxfId="0">
      <formula>0</formula>
    </cfRule>
    <cfRule type="cellIs" priority="2" operator="greaterThanOrEqual" dxfId="1">
      <formula>0</formula>
    </cfRule>
    <cfRule type="cellIs" priority="3" operator="greaterThanOrEqual" dxfId="1">
      <formula>0</formula>
    </cfRule>
    <cfRule type="cellIs" priority="4" operator="lessThan" dxfId="0">
      <formula>0</formula>
    </cfRule>
    <cfRule type="cellIs" priority="5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4" customWidth="1" min="4" max="4"/>
    <col width="16" customWidth="1" min="5" max="5"/>
    <col width="16" customWidth="1" min="6" max="6"/>
    <col width="12" customWidth="1" min="7" max="7"/>
    <col width="20" customWidth="1" min="8" max="8"/>
  </cols>
  <sheetData>
    <row r="1">
      <c r="A1" s="9" t="inlineStr">
        <is>
          <t>Date</t>
        </is>
      </c>
      <c r="B1" s="9" t="inlineStr">
        <is>
          <t>Month</t>
        </is>
      </c>
      <c r="C1" s="9" t="inlineStr">
        <is>
          <t>Category</t>
        </is>
      </c>
      <c r="D1" s="9" t="inlineStr">
        <is>
          <t>Description</t>
        </is>
      </c>
      <c r="E1" s="9" t="inlineStr">
        <is>
          <t>Payment Method</t>
        </is>
      </c>
      <c r="F1" s="9" t="inlineStr">
        <is>
          <t>Planned/Unplanned</t>
        </is>
      </c>
      <c r="G1" s="9" t="inlineStr">
        <is>
          <t>Amount</t>
        </is>
      </c>
      <c r="H1" s="9" t="inlineStr">
        <is>
          <t>Notes</t>
        </is>
      </c>
      <c r="I1" s="8" t="inlineStr">
        <is>
          <t>&lt;-- Go to Start Here tab for instructions</t>
        </is>
      </c>
    </row>
    <row r="2">
      <c r="A2" s="32" t="n">
        <v>46174</v>
      </c>
      <c r="B2" s="18">
        <f>TEXT(A2,"MMMM")</f>
        <v/>
      </c>
      <c r="C2" s="19" t="inlineStr">
        <is>
          <t>Housing</t>
        </is>
      </c>
      <c r="D2" s="19" t="inlineStr">
        <is>
          <t>Rent June</t>
        </is>
      </c>
      <c r="E2" s="19" t="inlineStr">
        <is>
          <t>Bank Transfer</t>
        </is>
      </c>
      <c r="F2" s="19" t="inlineStr">
        <is>
          <t>Planned</t>
        </is>
      </c>
      <c r="G2" s="20" t="n">
        <v>1200</v>
      </c>
      <c r="H2" s="19" t="inlineStr"/>
    </row>
    <row r="3">
      <c r="A3" s="32" t="n">
        <v>46174</v>
      </c>
      <c r="B3" s="18">
        <f>TEXT(A3,"MMMM")</f>
        <v/>
      </c>
      <c r="C3" s="19" t="inlineStr">
        <is>
          <t>Utilities</t>
        </is>
      </c>
      <c r="D3" s="19" t="inlineStr">
        <is>
          <t>Electricity bill</t>
        </is>
      </c>
      <c r="E3" s="19" t="inlineStr">
        <is>
          <t>Bank Transfer</t>
        </is>
      </c>
      <c r="F3" s="19" t="inlineStr">
        <is>
          <t>Planned</t>
        </is>
      </c>
      <c r="G3" s="20" t="n">
        <v>85</v>
      </c>
      <c r="H3" s="19" t="inlineStr"/>
    </row>
    <row r="4">
      <c r="A4" s="32" t="n">
        <v>46175</v>
      </c>
      <c r="B4" s="18">
        <f>TEXT(A4,"MMMM")</f>
        <v/>
      </c>
      <c r="C4" s="19" t="inlineStr">
        <is>
          <t>Groceries</t>
        </is>
      </c>
      <c r="D4" s="19" t="inlineStr">
        <is>
          <t>Weekly groceries</t>
        </is>
      </c>
      <c r="E4" s="19" t="inlineStr">
        <is>
          <t>Credit Card</t>
        </is>
      </c>
      <c r="F4" s="19" t="inlineStr">
        <is>
          <t>Planned</t>
        </is>
      </c>
      <c r="G4" s="20" t="n">
        <v>95</v>
      </c>
      <c r="H4" s="19" t="inlineStr"/>
    </row>
    <row r="5">
      <c r="A5" s="32" t="n">
        <v>46176</v>
      </c>
      <c r="B5" s="18">
        <f>TEXT(A5,"MMMM")</f>
        <v/>
      </c>
      <c r="C5" s="19" t="inlineStr">
        <is>
          <t>Transport</t>
        </is>
      </c>
      <c r="D5" s="19" t="inlineStr">
        <is>
          <t>Gas station</t>
        </is>
      </c>
      <c r="E5" s="19" t="inlineStr">
        <is>
          <t>Credit Card</t>
        </is>
      </c>
      <c r="F5" s="19" t="inlineStr">
        <is>
          <t>Planned</t>
        </is>
      </c>
      <c r="G5" s="20" t="n">
        <v>40</v>
      </c>
      <c r="H5" s="19" t="inlineStr"/>
    </row>
    <row r="6">
      <c r="A6" s="32" t="n">
        <v>46177</v>
      </c>
      <c r="B6" s="18">
        <f>TEXT(A6,"MMMM")</f>
        <v/>
      </c>
      <c r="C6" s="19" t="inlineStr">
        <is>
          <t>Dining</t>
        </is>
      </c>
      <c r="D6" s="19" t="inlineStr">
        <is>
          <t>Lunch with team</t>
        </is>
      </c>
      <c r="E6" s="19" t="inlineStr">
        <is>
          <t>Debit Card</t>
        </is>
      </c>
      <c r="F6" s="19" t="inlineStr">
        <is>
          <t>Unplanned</t>
        </is>
      </c>
      <c r="G6" s="20" t="n">
        <v>25</v>
      </c>
      <c r="H6" s="19" t="inlineStr"/>
    </row>
    <row r="7">
      <c r="A7" s="32" t="n">
        <v>46178</v>
      </c>
      <c r="B7" s="18">
        <f>TEXT(A7,"MMMM")</f>
        <v/>
      </c>
      <c r="C7" s="19" t="inlineStr">
        <is>
          <t>Subscriptions</t>
        </is>
      </c>
      <c r="D7" s="19" t="inlineStr">
        <is>
          <t>Netflix monthly</t>
        </is>
      </c>
      <c r="E7" s="19" t="inlineStr">
        <is>
          <t>Credit Card</t>
        </is>
      </c>
      <c r="F7" s="19" t="inlineStr">
        <is>
          <t>Planned</t>
        </is>
      </c>
      <c r="G7" s="20" t="n">
        <v>15</v>
      </c>
      <c r="H7" s="19" t="inlineStr"/>
    </row>
    <row r="8">
      <c r="A8" s="32" t="n">
        <v>46179</v>
      </c>
      <c r="B8" s="18">
        <f>TEXT(A8,"MMMM")</f>
        <v/>
      </c>
      <c r="C8" s="19" t="inlineStr">
        <is>
          <t>Groceries</t>
        </is>
      </c>
      <c r="D8" s="19" t="inlineStr">
        <is>
          <t>Weekend groceries</t>
        </is>
      </c>
      <c r="E8" s="19" t="inlineStr">
        <is>
          <t>Debit Card</t>
        </is>
      </c>
      <c r="F8" s="19" t="inlineStr">
        <is>
          <t>Planned</t>
        </is>
      </c>
      <c r="G8" s="20" t="n">
        <v>78</v>
      </c>
      <c r="H8" s="19" t="inlineStr"/>
    </row>
    <row r="9">
      <c r="A9" s="32" t="n">
        <v>46180</v>
      </c>
      <c r="B9" s="18">
        <f>TEXT(A9,"MMMM")</f>
        <v/>
      </c>
      <c r="C9" s="19" t="inlineStr">
        <is>
          <t>Entertainment</t>
        </is>
      </c>
      <c r="D9" s="19" t="inlineStr">
        <is>
          <t>Movie tickets</t>
        </is>
      </c>
      <c r="E9" s="19" t="inlineStr">
        <is>
          <t>Credit Card</t>
        </is>
      </c>
      <c r="F9" s="19" t="inlineStr">
        <is>
          <t>Unplanned</t>
        </is>
      </c>
      <c r="G9" s="20" t="n">
        <v>30</v>
      </c>
      <c r="H9" s="19" t="inlineStr"/>
    </row>
    <row r="10">
      <c r="A10" s="32" t="n">
        <v>46181</v>
      </c>
      <c r="B10" s="18">
        <f>TEXT(A10,"MMMM")</f>
        <v/>
      </c>
      <c r="C10" s="19" t="inlineStr">
        <is>
          <t>Utilities</t>
        </is>
      </c>
      <c r="D10" s="19" t="inlineStr">
        <is>
          <t>Internet bill</t>
        </is>
      </c>
      <c r="E10" s="19" t="inlineStr">
        <is>
          <t>Bank Transfer</t>
        </is>
      </c>
      <c r="F10" s="19" t="inlineStr">
        <is>
          <t>Planned</t>
        </is>
      </c>
      <c r="G10" s="20" t="n">
        <v>55</v>
      </c>
      <c r="H10" s="19" t="inlineStr"/>
    </row>
    <row r="11">
      <c r="A11" s="32" t="n">
        <v>46183</v>
      </c>
      <c r="B11" s="18">
        <f>TEXT(A11,"MMMM")</f>
        <v/>
      </c>
      <c r="C11" s="19" t="inlineStr">
        <is>
          <t>Shopping</t>
        </is>
      </c>
      <c r="D11" s="19" t="inlineStr">
        <is>
          <t>New running shoes</t>
        </is>
      </c>
      <c r="E11" s="19" t="inlineStr">
        <is>
          <t>Credit Card</t>
        </is>
      </c>
      <c r="F11" s="19" t="inlineStr">
        <is>
          <t>Unplanned</t>
        </is>
      </c>
      <c r="G11" s="20" t="n">
        <v>85</v>
      </c>
      <c r="H11" s="19" t="inlineStr"/>
    </row>
    <row r="12">
      <c r="A12" s="32" t="n">
        <v>46185</v>
      </c>
      <c r="B12" s="18">
        <f>TEXT(A12,"MMMM")</f>
        <v/>
      </c>
      <c r="C12" s="19" t="inlineStr">
        <is>
          <t>Health</t>
        </is>
      </c>
      <c r="D12" s="19" t="inlineStr">
        <is>
          <t>Pharmacy</t>
        </is>
      </c>
      <c r="E12" s="19" t="inlineStr">
        <is>
          <t>Debit Card</t>
        </is>
      </c>
      <c r="F12" s="19" t="inlineStr">
        <is>
          <t>Planned</t>
        </is>
      </c>
      <c r="G12" s="20" t="n">
        <v>25</v>
      </c>
      <c r="H12" s="19" t="inlineStr">
        <is>
          <t>Vitamins and first aid</t>
        </is>
      </c>
    </row>
    <row r="13">
      <c r="A13" s="32" t="n">
        <v>46188</v>
      </c>
      <c r="B13" s="18">
        <f>TEXT(A13,"MMMM")</f>
        <v/>
      </c>
      <c r="C13" s="19" t="inlineStr">
        <is>
          <t>Insurance</t>
        </is>
      </c>
      <c r="D13" s="19" t="inlineStr">
        <is>
          <t>Health insurance</t>
        </is>
      </c>
      <c r="E13" s="19" t="inlineStr">
        <is>
          <t>Bank Transfer</t>
        </is>
      </c>
      <c r="F13" s="19" t="inlineStr">
        <is>
          <t>Planned</t>
        </is>
      </c>
      <c r="G13" s="20" t="n">
        <v>150</v>
      </c>
      <c r="H13" s="19" t="inlineStr"/>
    </row>
    <row r="14">
      <c r="A14" s="32" t="n">
        <v>46191</v>
      </c>
      <c r="B14" s="18">
        <f>TEXT(A14,"MMMM")</f>
        <v/>
      </c>
      <c r="C14" s="19" t="inlineStr">
        <is>
          <t>Dining</t>
        </is>
      </c>
      <c r="D14" s="19" t="inlineStr">
        <is>
          <t>Dinner with friends</t>
        </is>
      </c>
      <c r="E14" s="19" t="inlineStr">
        <is>
          <t>Credit Card</t>
        </is>
      </c>
      <c r="F14" s="19" t="inlineStr">
        <is>
          <t>Unplanned</t>
        </is>
      </c>
      <c r="G14" s="20" t="n">
        <v>45</v>
      </c>
      <c r="H14" s="19" t="inlineStr"/>
    </row>
    <row r="15">
      <c r="A15" s="32" t="n">
        <v>46193</v>
      </c>
      <c r="B15" s="18">
        <f>TEXT(A15,"MMMM")</f>
        <v/>
      </c>
      <c r="C15" s="19" t="inlineStr">
        <is>
          <t>Transport</t>
        </is>
      </c>
      <c r="D15" s="19" t="inlineStr">
        <is>
          <t>Monthly transit pass</t>
        </is>
      </c>
      <c r="E15" s="19" t="inlineStr">
        <is>
          <t>Debit Card</t>
        </is>
      </c>
      <c r="F15" s="19" t="inlineStr">
        <is>
          <t>Planned</t>
        </is>
      </c>
      <c r="G15" s="20" t="n">
        <v>60</v>
      </c>
      <c r="H15" s="19" t="inlineStr"/>
    </row>
    <row r="16">
      <c r="A16" s="32" t="n">
        <v>46195</v>
      </c>
      <c r="B16" s="18">
        <f>TEXT(A16,"MMMM")</f>
        <v/>
      </c>
      <c r="C16" s="19" t="inlineStr">
        <is>
          <t>Education</t>
        </is>
      </c>
      <c r="D16" s="19" t="inlineStr">
        <is>
          <t>Online course</t>
        </is>
      </c>
      <c r="E16" s="19" t="inlineStr">
        <is>
          <t>Credit Card</t>
        </is>
      </c>
      <c r="F16" s="19" t="inlineStr">
        <is>
          <t>Planned</t>
        </is>
      </c>
      <c r="G16" s="20" t="n">
        <v>80</v>
      </c>
      <c r="H16" s="19" t="inlineStr">
        <is>
          <t>Python course</t>
        </is>
      </c>
    </row>
    <row r="17">
      <c r="A17" s="32" t="n">
        <v>46198</v>
      </c>
      <c r="B17" s="18">
        <f>TEXT(A17,"MMMM")</f>
        <v/>
      </c>
      <c r="C17" s="19" t="inlineStr">
        <is>
          <t>Groceries</t>
        </is>
      </c>
      <c r="D17" s="19" t="inlineStr">
        <is>
          <t>Weekly groceries</t>
        </is>
      </c>
      <c r="E17" s="19" t="inlineStr">
        <is>
          <t>Credit Card</t>
        </is>
      </c>
      <c r="F17" s="19" t="inlineStr">
        <is>
          <t>Planned</t>
        </is>
      </c>
      <c r="G17" s="20" t="n">
        <v>72</v>
      </c>
      <c r="H17" s="19" t="inlineStr"/>
    </row>
    <row r="18">
      <c r="A18" s="32" t="n">
        <v>46201</v>
      </c>
      <c r="B18" s="18">
        <f>TEXT(A18,"MMMM")</f>
        <v/>
      </c>
      <c r="C18" s="19" t="inlineStr">
        <is>
          <t>Subscriptions</t>
        </is>
      </c>
      <c r="D18" s="19" t="inlineStr">
        <is>
          <t>Spotify monthly</t>
        </is>
      </c>
      <c r="E18" s="19" t="inlineStr">
        <is>
          <t>Credit Card</t>
        </is>
      </c>
      <c r="F18" s="19" t="inlineStr">
        <is>
          <t>Planned</t>
        </is>
      </c>
      <c r="G18" s="20" t="n">
        <v>10</v>
      </c>
      <c r="H18" s="19" t="inlineStr"/>
    </row>
    <row r="19">
      <c r="A19" s="32" t="n">
        <v>46202</v>
      </c>
      <c r="B19" s="18">
        <f>TEXT(A19,"MMMM")</f>
        <v/>
      </c>
      <c r="C19" s="19" t="inlineStr">
        <is>
          <t>Entertainment</t>
        </is>
      </c>
      <c r="D19" s="19" t="inlineStr">
        <is>
          <t>Concert tickets</t>
        </is>
      </c>
      <c r="E19" s="19" t="inlineStr">
        <is>
          <t>Credit Card</t>
        </is>
      </c>
      <c r="F19" s="19" t="inlineStr">
        <is>
          <t>Unplanned</t>
        </is>
      </c>
      <c r="G19" s="20" t="n">
        <v>60</v>
      </c>
      <c r="H19" s="19" t="inlineStr"/>
    </row>
  </sheetData>
  <dataValidations count="3">
    <dataValidation sqref="C2:C101" showDropDown="0" showInputMessage="0" showErrorMessage="0" allowBlank="1" errorTitle="Invalid Category" error="Please select a valid category" type="list">
      <formula1>"Housing,Utilities,Groceries,Transport,Insurance,Health,Entertainment,Dining,Subscriptions,Shopping,Education,Debt Payments,Savings,Other"</formula1>
    </dataValidation>
    <dataValidation sqref="E2:E101" showDropDown="0" showInputMessage="0" showErrorMessage="0" allowBlank="1" type="list">
      <formula1>"Cash,Credit Card,Debit Card,Bank Transfer,PayPal,Other"</formula1>
    </dataValidation>
    <dataValidation sqref="F2:F101" showDropDown="0" showInputMessage="0" showErrorMessage="0" allowBlank="1" type="list">
      <formula1>"Planned,Unplanned"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20" customWidth="1" min="7" max="7"/>
  </cols>
  <sheetData>
    <row r="1">
      <c r="A1" s="9" t="inlineStr">
        <is>
          <t>Bill Name</t>
        </is>
      </c>
      <c r="B1" s="9" t="inlineStr">
        <is>
          <t>Due Date</t>
        </is>
      </c>
      <c r="C1" s="9" t="inlineStr">
        <is>
          <t>Amount</t>
        </is>
      </c>
      <c r="D1" s="9" t="inlineStr">
        <is>
          <t>Frequency</t>
        </is>
      </c>
      <c r="E1" s="9" t="inlineStr">
        <is>
          <t>Paid Status</t>
        </is>
      </c>
      <c r="F1" s="9" t="inlineStr">
        <is>
          <t>Payment Method</t>
        </is>
      </c>
      <c r="G1" s="9" t="inlineStr">
        <is>
          <t>Notes</t>
        </is>
      </c>
      <c r="H1" s="8" t="inlineStr">
        <is>
          <t>&lt;-- Go to Start Here tab for instructions</t>
        </is>
      </c>
    </row>
    <row r="2">
      <c r="A2" s="19" t="inlineStr">
        <is>
          <t>Rent</t>
        </is>
      </c>
      <c r="B2" s="32" t="n">
        <v>46174</v>
      </c>
      <c r="C2" s="20" t="n">
        <v>1200</v>
      </c>
      <c r="D2" s="19" t="inlineStr">
        <is>
          <t>Monthly</t>
        </is>
      </c>
      <c r="E2" s="19" t="inlineStr">
        <is>
          <t>Paid</t>
        </is>
      </c>
      <c r="F2" s="19" t="inlineStr">
        <is>
          <t>Bank Transfer</t>
        </is>
      </c>
      <c r="G2" s="19" t="inlineStr"/>
    </row>
    <row r="3">
      <c r="A3" s="19" t="inlineStr">
        <is>
          <t>Electricity</t>
        </is>
      </c>
      <c r="B3" s="32" t="n">
        <v>46183</v>
      </c>
      <c r="C3" s="20" t="n">
        <v>85</v>
      </c>
      <c r="D3" s="19" t="inlineStr">
        <is>
          <t>Monthly</t>
        </is>
      </c>
      <c r="E3" s="19" t="inlineStr">
        <is>
          <t>Paid</t>
        </is>
      </c>
      <c r="F3" s="19" t="inlineStr">
        <is>
          <t>Bank Transfer</t>
        </is>
      </c>
      <c r="G3" s="19" t="inlineStr"/>
    </row>
    <row r="4">
      <c r="A4" s="19" t="inlineStr">
        <is>
          <t>Internet</t>
        </is>
      </c>
      <c r="B4" s="32" t="n">
        <v>46188</v>
      </c>
      <c r="C4" s="20" t="n">
        <v>55</v>
      </c>
      <c r="D4" s="19" t="inlineStr">
        <is>
          <t>Monthly</t>
        </is>
      </c>
      <c r="E4" s="19" t="inlineStr">
        <is>
          <t>Paid</t>
        </is>
      </c>
      <c r="F4" s="19" t="inlineStr">
        <is>
          <t>Bank Transfer</t>
        </is>
      </c>
      <c r="G4" s="19" t="inlineStr"/>
    </row>
    <row r="5">
      <c r="A5" s="19" t="inlineStr">
        <is>
          <t>Health Insurance</t>
        </is>
      </c>
      <c r="B5" s="32" t="n">
        <v>46193</v>
      </c>
      <c r="C5" s="20" t="n">
        <v>150</v>
      </c>
      <c r="D5" s="19" t="inlineStr">
        <is>
          <t>Monthly</t>
        </is>
      </c>
      <c r="E5" s="19" t="inlineStr">
        <is>
          <t>Paid</t>
        </is>
      </c>
      <c r="F5" s="19" t="inlineStr">
        <is>
          <t>Bank Transfer</t>
        </is>
      </c>
      <c r="G5" s="19" t="inlineStr"/>
    </row>
    <row r="6">
      <c r="A6" s="19" t="inlineStr">
        <is>
          <t>Car Insurance</t>
        </is>
      </c>
      <c r="B6" s="32" t="n">
        <v>46193</v>
      </c>
      <c r="C6" s="20" t="n">
        <v>120</v>
      </c>
      <c r="D6" s="19" t="inlineStr">
        <is>
          <t>Quarterly</t>
        </is>
      </c>
      <c r="E6" s="19" t="inlineStr">
        <is>
          <t>Unpaid</t>
        </is>
      </c>
      <c r="F6" s="19" t="inlineStr">
        <is>
          <t>Bank Transfer</t>
        </is>
      </c>
      <c r="G6" s="19" t="inlineStr"/>
    </row>
    <row r="7">
      <c r="A7" s="19" t="inlineStr">
        <is>
          <t>Phone Plan</t>
        </is>
      </c>
      <c r="B7" s="32" t="n">
        <v>46198</v>
      </c>
      <c r="C7" s="20" t="n">
        <v>40</v>
      </c>
      <c r="D7" s="19" t="inlineStr">
        <is>
          <t>Monthly</t>
        </is>
      </c>
      <c r="E7" s="19" t="inlineStr">
        <is>
          <t>Unpaid</t>
        </is>
      </c>
      <c r="F7" s="19" t="inlineStr">
        <is>
          <t>Credit Card</t>
        </is>
      </c>
      <c r="G7" s="19" t="inlineStr"/>
    </row>
  </sheetData>
  <conditionalFormatting sqref="A2:G101">
    <cfRule type="expression" priority="1" dxfId="0">
      <formula>$E2="Unpaid"</formula>
    </cfRule>
    <cfRule type="expression" priority="2" dxfId="1">
      <formula>$E2="Paid"</formula>
    </cfRule>
    <cfRule type="expression" priority="3" dxfId="0">
      <formula>$E2="Unpaid"</formula>
    </cfRule>
    <cfRule type="expression" priority="4" dxfId="1">
      <formula>$E2="Paid"</formula>
    </cfRule>
  </conditionalFormatting>
  <dataValidations count="2">
    <dataValidation sqref="D2:D101" showDropDown="0" showInputMessage="0" showErrorMessage="0" allowBlank="1" type="list">
      <formula1>"Monthly,Quarterly,Yearly,One-Time"</formula1>
    </dataValidation>
    <dataValidation sqref="E2:E101" showDropDown="0" showInputMessage="0" showErrorMessage="0" allowBlank="1" type="list">
      <formula1>"Paid,Unpaid,Upcoming"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>
      <c r="A1" s="9" t="inlineStr">
        <is>
          <t>Debt Name</t>
        </is>
      </c>
      <c r="B1" s="9" t="inlineStr">
        <is>
          <t>Starting Balance</t>
        </is>
      </c>
      <c r="C1" s="9" t="inlineStr">
        <is>
          <t>Current Balance</t>
        </is>
      </c>
      <c r="D1" s="9" t="inlineStr">
        <is>
          <t>Minimum Payment</t>
        </is>
      </c>
      <c r="E1" s="9" t="inlineStr">
        <is>
          <t>Extra Payment</t>
        </is>
      </c>
      <c r="F1" s="9" t="inlineStr">
        <is>
          <t>Interest Rate</t>
        </is>
      </c>
      <c r="G1" s="9" t="inlineStr">
        <is>
          <t>Payoff Progress %</t>
        </is>
      </c>
      <c r="H1" s="8" t="inlineStr">
        <is>
          <t>&lt;-- Go to Start Here tab for instructions</t>
        </is>
      </c>
    </row>
    <row r="2">
      <c r="A2" s="19" t="inlineStr">
        <is>
          <t>Credit Card A</t>
        </is>
      </c>
      <c r="B2" s="20" t="n">
        <v>3200</v>
      </c>
      <c r="C2" s="20" t="n">
        <v>2100</v>
      </c>
      <c r="D2" s="24" t="n">
        <v>85</v>
      </c>
      <c r="E2" s="24" t="n">
        <v>50</v>
      </c>
      <c r="F2" s="25" t="n">
        <v>0.2299</v>
      </c>
      <c r="G2" s="26">
        <f>IFERROR((B2-C2)/B2,0)</f>
        <v/>
      </c>
    </row>
    <row r="3">
      <c r="A3" s="19" t="inlineStr">
        <is>
          <t>Student Loan</t>
        </is>
      </c>
      <c r="B3" s="20" t="n">
        <v>15000</v>
      </c>
      <c r="C3" s="20" t="n">
        <v>12000</v>
      </c>
      <c r="D3" s="24" t="n">
        <v>200</v>
      </c>
      <c r="E3" s="24" t="n">
        <v>100</v>
      </c>
      <c r="F3" s="25" t="n">
        <v>0.055</v>
      </c>
      <c r="G3" s="26">
        <f>IFERROR((B3-C3)/B3,0)</f>
        <v/>
      </c>
    </row>
    <row r="4">
      <c r="A4" s="19" t="inlineStr">
        <is>
          <t>Personal Loan</t>
        </is>
      </c>
      <c r="B4" s="20" t="n">
        <v>5000</v>
      </c>
      <c r="C4" s="20" t="n">
        <v>3000</v>
      </c>
      <c r="D4" s="24" t="n">
        <v>120</v>
      </c>
      <c r="E4" s="24" t="n">
        <v>0</v>
      </c>
      <c r="F4" s="25" t="n">
        <v>0.08</v>
      </c>
      <c r="G4" s="26">
        <f>IFERROR((B4-C4)/B4,0)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9" t="inlineStr">
        <is>
          <t>Goal Name</t>
        </is>
      </c>
      <c r="B1" s="9" t="inlineStr">
        <is>
          <t>Target Amount</t>
        </is>
      </c>
      <c r="C1" s="9" t="inlineStr">
        <is>
          <t>Current Amount</t>
        </is>
      </c>
      <c r="D1" s="9" t="inlineStr">
        <is>
          <t>Monthly Contribution</t>
        </is>
      </c>
      <c r="E1" s="9" t="inlineStr">
        <is>
          <t>Progress %</t>
        </is>
      </c>
      <c r="F1" s="9" t="inlineStr">
        <is>
          <t>Target Date</t>
        </is>
      </c>
      <c r="G1" s="8" t="inlineStr">
        <is>
          <t>&lt;-- Go to Start Here tab for instructions</t>
        </is>
      </c>
    </row>
    <row r="2">
      <c r="A2" s="19" t="inlineStr">
        <is>
          <t>Emergency Fund</t>
        </is>
      </c>
      <c r="B2" s="20" t="n">
        <v>10000</v>
      </c>
      <c r="C2" s="20" t="n">
        <v>4500</v>
      </c>
      <c r="D2" s="24" t="n">
        <v>500</v>
      </c>
      <c r="E2" s="26">
        <f>IFERROR(C2/B2,0)</f>
        <v/>
      </c>
      <c r="F2" s="32" t="n">
        <v>46387</v>
      </c>
    </row>
    <row r="3">
      <c r="A3" s="19" t="inlineStr">
        <is>
          <t>Vacation Fund</t>
        </is>
      </c>
      <c r="B3" s="20" t="n">
        <v>2500</v>
      </c>
      <c r="C3" s="20" t="n">
        <v>800</v>
      </c>
      <c r="D3" s="24" t="n">
        <v>200</v>
      </c>
      <c r="E3" s="26">
        <f>IFERROR(C3/B3,0)</f>
        <v/>
      </c>
      <c r="F3" s="32" t="n">
        <v>46568</v>
      </c>
    </row>
    <row r="4">
      <c r="A4" s="19" t="inlineStr">
        <is>
          <t>New Laptop Fund</t>
        </is>
      </c>
      <c r="B4" s="20" t="n">
        <v>2000</v>
      </c>
      <c r="C4" s="20" t="n">
        <v>600</v>
      </c>
      <c r="D4" s="24" t="n">
        <v>150</v>
      </c>
      <c r="E4" s="26">
        <f>IFERROR(C4/B4,0)</f>
        <v/>
      </c>
      <c r="F4" s="32" t="n">
        <v>46295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27" t="inlineStr">
        <is>
          <t>Financial Dashboard</t>
        </is>
      </c>
      <c r="D1" s="8" t="inlineStr">
        <is>
          <t>&lt;-- Go to Start Here tab for instructions</t>
        </is>
      </c>
    </row>
    <row r="2"/>
    <row r="3">
      <c r="A3" s="15" t="inlineStr">
        <is>
          <t>Total Income</t>
        </is>
      </c>
      <c r="B3" s="14">
        <f>SUMIF('Monthly Budget'!B:B,"Income",'Monthly Budget'!C:C)</f>
        <v/>
      </c>
      <c r="C3" s="39" t="inlineStr">
        <is>
          <t>All income from Salary, Freelance, Side Hustle (planned)</t>
        </is>
      </c>
    </row>
    <row r="4"/>
    <row r="5">
      <c r="A5" s="15" t="inlineStr">
        <is>
          <t>Total Expenses</t>
        </is>
      </c>
      <c r="B5" s="14">
        <f>SUMIF('Monthly Budget'!B:B,"Expense",'Monthly Budget'!D:D)</f>
        <v/>
      </c>
      <c r="C5" s="39" t="inlineStr">
        <is>
          <t>All spending tracked in Expense Tracker</t>
        </is>
      </c>
    </row>
    <row r="6"/>
    <row r="7">
      <c r="A7" s="15" t="inlineStr">
        <is>
          <t>Net Savings</t>
        </is>
      </c>
      <c r="B7" s="14">
        <f>B3-B5</f>
        <v/>
      </c>
      <c r="C7" s="39" t="inlineStr">
        <is>
          <t>Income minus Expenses</t>
        </is>
      </c>
    </row>
    <row r="8"/>
    <row r="9">
      <c r="A9" s="15" t="inlineStr">
        <is>
          <t>Savings Rate %</t>
        </is>
      </c>
      <c r="B9" s="36">
        <f>IFERROR(B7/B3,0)</f>
        <v/>
      </c>
      <c r="C9" s="39" t="inlineStr">
        <is>
          <t>Net Savings ÷ Total Income</t>
        </is>
      </c>
    </row>
    <row r="10"/>
    <row r="11">
      <c r="A11" s="15" t="inlineStr">
        <is>
          <t>Bills Due</t>
        </is>
      </c>
      <c r="B11" s="37">
        <f>COUNTIF('Bills Tracker'!E:E,"Unpaid")</f>
        <v/>
      </c>
      <c r="C11" s="39" t="inlineStr">
        <is>
          <t>Unpaid bills requiring attention</t>
        </is>
      </c>
    </row>
    <row r="12"/>
    <row r="13">
      <c r="A13" s="15" t="inlineStr">
        <is>
          <t>Debt Remaining</t>
        </is>
      </c>
      <c r="B13" s="14">
        <f>SUM('Debt Tracker'!C:C)</f>
        <v/>
      </c>
      <c r="C13" s="39" t="inlineStr">
        <is>
          <t>Total outstanding debt balance</t>
        </is>
      </c>
    </row>
    <row r="14"/>
    <row r="15">
      <c r="A15" s="15" t="inlineStr">
        <is>
          <t>Avg Savings Progress</t>
        </is>
      </c>
      <c r="B15" s="36">
        <f>AVERAGE('Savings Tracker'!E:E)</f>
        <v/>
      </c>
      <c r="C15" s="39" t="inlineStr">
        <is>
          <t>Average % of savings targets achieved</t>
        </is>
      </c>
    </row>
    <row r="16"/>
    <row r="17">
      <c r="A17" s="15" t="inlineStr">
        <is>
          <t>Top Spending Category</t>
        </is>
      </c>
      <c r="B17" s="28" t="n"/>
    </row>
    <row r="18"/>
    <row r="19"/>
    <row r="20">
      <c r="A20" s="5" t="inlineStr">
        <is>
          <t>Monthly Spending Summary</t>
        </is>
      </c>
    </row>
    <row r="21">
      <c r="A21" s="30" t="inlineStr">
        <is>
          <t>Category</t>
        </is>
      </c>
      <c r="B21" s="30" t="inlineStr">
        <is>
          <t>Total Spent</t>
        </is>
      </c>
    </row>
    <row r="22">
      <c r="A22" s="19" t="inlineStr">
        <is>
          <t>Housing</t>
        </is>
      </c>
      <c r="B22" s="14">
        <f>SUMIF('Expense Tracker'!C:C,A22,'Expense Tracker'!G:G)</f>
        <v/>
      </c>
    </row>
    <row r="23">
      <c r="A23" s="19" t="inlineStr">
        <is>
          <t>Utilities</t>
        </is>
      </c>
      <c r="B23" s="14">
        <f>SUMIF('Expense Tracker'!C:C,A23,'Expense Tracker'!G:G)</f>
        <v/>
      </c>
    </row>
    <row r="24">
      <c r="A24" s="19" t="inlineStr">
        <is>
          <t>Groceries</t>
        </is>
      </c>
      <c r="B24" s="14">
        <f>SUMIF('Expense Tracker'!C:C,A24,'Expense Tracker'!G:G)</f>
        <v/>
      </c>
    </row>
    <row r="25">
      <c r="A25" s="19" t="inlineStr">
        <is>
          <t>Transport</t>
        </is>
      </c>
      <c r="B25" s="14">
        <f>SUMIF('Expense Tracker'!C:C,A25,'Expense Tracker'!G:G)</f>
        <v/>
      </c>
    </row>
    <row r="26">
      <c r="A26" s="19" t="inlineStr">
        <is>
          <t>Insurance</t>
        </is>
      </c>
      <c r="B26" s="14">
        <f>SUMIF('Expense Tracker'!C:C,A26,'Expense Tracker'!G:G)</f>
        <v/>
      </c>
    </row>
    <row r="27">
      <c r="A27" s="19" t="inlineStr">
        <is>
          <t>Health</t>
        </is>
      </c>
      <c r="B27" s="14">
        <f>SUMIF('Expense Tracker'!C:C,A27,'Expense Tracker'!G:G)</f>
        <v/>
      </c>
    </row>
    <row r="28">
      <c r="A28" s="19" t="inlineStr">
        <is>
          <t>Entertainment</t>
        </is>
      </c>
      <c r="B28" s="14">
        <f>SUMIF('Expense Tracker'!C:C,A28,'Expense Tracker'!G:G)</f>
        <v/>
      </c>
    </row>
    <row r="29">
      <c r="A29" s="19" t="inlineStr">
        <is>
          <t>Dining</t>
        </is>
      </c>
      <c r="B29" s="14">
        <f>SUMIF('Expense Tracker'!C:C,A29,'Expense Tracker'!G:G)</f>
        <v/>
      </c>
    </row>
    <row r="30">
      <c r="A30" s="19" t="inlineStr">
        <is>
          <t>Subscriptions</t>
        </is>
      </c>
      <c r="B30" s="14">
        <f>SUMIF('Expense Tracker'!C:C,A30,'Expense Tracker'!G:G)</f>
        <v/>
      </c>
    </row>
    <row r="31">
      <c r="A31" s="19" t="inlineStr">
        <is>
          <t>Shopping</t>
        </is>
      </c>
      <c r="B31" s="14">
        <f>SUMIF('Expense Tracker'!C:C,A31,'Expense Tracker'!G:G)</f>
        <v/>
      </c>
    </row>
    <row r="32">
      <c r="A32" s="19" t="inlineStr">
        <is>
          <t>Education</t>
        </is>
      </c>
      <c r="B32" s="14">
        <f>SUMIF('Expense Tracker'!C:C,A32,'Expense Tracker'!G:G)</f>
        <v/>
      </c>
    </row>
    <row r="33">
      <c r="A33" s="19" t="inlineStr">
        <is>
          <t>Debt Payments</t>
        </is>
      </c>
      <c r="B33" s="14">
        <f>SUMIF('Expense Tracker'!C:C,A33,'Expense Tracker'!G:G)</f>
        <v/>
      </c>
    </row>
    <row r="34">
      <c r="A34" s="19" t="inlineStr">
        <is>
          <t>Savings</t>
        </is>
      </c>
      <c r="B34" s="14">
        <f>SUMIF('Expense Tracker'!C:C,A34,'Expense Tracker'!G:G)</f>
        <v/>
      </c>
    </row>
    <row r="35">
      <c r="A35" s="19" t="inlineStr">
        <is>
          <t>Other</t>
        </is>
      </c>
      <c r="B35" s="14">
        <f>SUMIF('Expense Tracker'!C:C,A35,'Expense Tracker'!G:G)</f>
        <v/>
      </c>
    </row>
    <row r="36"/>
    <row r="37">
      <c r="A37" s="5" t="inlineStr">
        <is>
          <t>Monthly Income vs Expenses</t>
        </is>
      </c>
    </row>
    <row r="38">
      <c r="A38" s="30" t="inlineStr">
        <is>
          <t>Metric</t>
        </is>
      </c>
      <c r="B38" s="30" t="inlineStr">
        <is>
          <t>Amount</t>
        </is>
      </c>
    </row>
    <row r="39">
      <c r="A39" s="3" t="inlineStr">
        <is>
          <t>Income</t>
        </is>
      </c>
      <c r="B39" s="38">
        <f>B3</f>
        <v/>
      </c>
    </row>
    <row r="40">
      <c r="A40" s="3" t="inlineStr">
        <is>
          <t>Expenses</t>
        </is>
      </c>
      <c r="B40" s="38">
        <f>B5</f>
        <v/>
      </c>
    </row>
    <row r="41">
      <c r="A41" s="3" t="inlineStr">
        <is>
          <t>Net Savings</t>
        </is>
      </c>
      <c r="B41" s="38">
        <f>B7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2026-06-06T18:10:46Z</dcterms:created>
  <dcterms:modified xmlns:dcterms="http://purl.org/dc/terms/" xmlns:xsi="http://www.w3.org/2001/XMLSchema-instance" xsi:type="dcterms:W3CDTF">2026-06-06T20:14:21Z</dcterms:modified>
</cp:coreProperties>
</file>