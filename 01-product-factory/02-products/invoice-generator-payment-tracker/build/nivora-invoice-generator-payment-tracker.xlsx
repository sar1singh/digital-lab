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Payment Tracker" sheetId="5" state="visible" r:id="rId5"/>
    <sheet xmlns:r="http://schemas.openxmlformats.org/officeDocument/2006/relationships" name="Invoice Generator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sz val="11"/>
    </font>
    <font>
      <name val="Calibri"/>
      <b val="1"/>
      <color rgb="002F5496"/>
      <sz val="24"/>
    </font>
    <font>
      <name val="Calibri"/>
      <b val="1"/>
      <sz val="12"/>
    </font>
    <font>
      <name val="Calibri"/>
      <b val="1"/>
      <color rgb="002F5496"/>
      <sz val="13"/>
    </font>
    <font>
      <name val="Calibri"/>
      <b val="1"/>
      <color rgb="002F5496"/>
      <sz val="14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top style="medium"/>
      <bottom style="medium"/>
    </border>
    <border>
      <left/>
      <right/>
      <top style="medium"/>
      <bottom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4" fontId="1" fillId="6" borderId="1" applyAlignment="1" pivotButton="0" quotePrefix="0" xfId="0">
      <alignment horizontal="center" vertical="center" wrapText="1"/>
    </xf>
    <xf numFmtId="3" fontId="1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center" vertical="center" wrapText="1"/>
    </xf>
    <xf numFmtId="4" fontId="4" fillId="5" borderId="0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4" borderId="1" pivotButton="0" quotePrefix="0" xfId="0"/>
    <xf numFmtId="165" fontId="4" fillId="4" borderId="1" pivotButton="0" quotePrefix="0" xfId="0"/>
    <xf numFmtId="0" fontId="0" fillId="0" borderId="1" pivotButton="0" quotePrefix="0" xfId="0"/>
    <xf numFmtId="4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0" fontId="12" fillId="0" borderId="6" applyAlignment="1" pivotButton="0" quotePrefix="0" xfId="0">
      <alignment horizontal="right" vertical="center"/>
    </xf>
    <xf numFmtId="0" fontId="0" fillId="0" borderId="8" pivotButton="0" quotePrefix="0" xfId="0"/>
    <xf numFmtId="4" fontId="13" fillId="0" borderId="6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Nivora Invoice Generator &amp; Payment Tracker</t>
        </is>
      </c>
    </row>
    <row r="2">
      <c r="A2" s="2" t="inlineStr">
        <is>
          <t>Excel + Google Sheets compatible  |  Formula-driven  |  No macros</t>
        </is>
      </c>
    </row>
    <row r="4">
      <c r="A4" s="3" t="inlineStr">
        <is>
          <t>Quick Start</t>
        </is>
      </c>
      <c r="B4" s="4" t="n"/>
      <c r="C4" s="4" t="n"/>
    </row>
    <row r="5">
      <c r="A5" s="5" t="inlineStr">
        <is>
          <t>1. Go to the Settings tab to set your currency, default tax rate, and preferences.</t>
        </is>
      </c>
    </row>
    <row r="6">
      <c r="A6" s="5" t="inlineStr">
        <is>
          <t>2. Add your clients on the Clients tab (or use the sample data as a guide).</t>
        </is>
      </c>
    </row>
    <row r="7">
      <c r="A7" s="5" t="inlineStr">
        <is>
          <t>3. Create invoices using the Invoice Generator tab.</t>
        </is>
      </c>
    </row>
    <row r="8">
      <c r="A8" s="5" t="inlineStr">
        <is>
          <t>4. Track payments on the Payment Tracker tab.</t>
        </is>
      </c>
    </row>
    <row r="9">
      <c r="A9" s="5" t="inlineStr">
        <is>
          <t>5. View your dashboard for revenue, outstanding balances, and invoice status.</t>
        </is>
      </c>
    </row>
    <row r="11">
      <c r="A11" s="3" t="inlineStr">
        <is>
          <t>Tab Guide</t>
        </is>
      </c>
      <c r="B11" s="4" t="n"/>
      <c r="C11" s="4" t="n"/>
    </row>
    <row r="12">
      <c r="A12" s="6" t="inlineStr">
        <is>
          <t>Tab</t>
        </is>
      </c>
      <c r="B12" s="6" t="inlineStr">
        <is>
          <t>Purpose</t>
        </is>
      </c>
    </row>
    <row r="13">
      <c r="A13" s="7" t="inlineStr">
        <is>
          <t>Start Here</t>
        </is>
      </c>
      <c r="B13" s="8" t="inlineStr">
        <is>
          <t>Setup instructions and navigation guide</t>
        </is>
      </c>
    </row>
    <row r="14">
      <c r="A14" s="7" t="inlineStr">
        <is>
          <t>Dashboard</t>
        </is>
      </c>
      <c r="B14" s="8" t="inlineStr">
        <is>
          <t>Revenue summary, invoice status breakdown, top clients</t>
        </is>
      </c>
    </row>
    <row r="15">
      <c r="A15" s="7" t="inlineStr">
        <is>
          <t>Clients</t>
        </is>
      </c>
      <c r="B15" s="8" t="inlineStr">
        <is>
          <t>Manage client information and status</t>
        </is>
      </c>
    </row>
    <row r="16">
      <c r="A16" s="7" t="inlineStr">
        <is>
          <t>Invoice Register</t>
        </is>
      </c>
      <c r="B16" s="8" t="inlineStr">
        <is>
          <t>All invoices with auto-status tracking</t>
        </is>
      </c>
    </row>
    <row r="17">
      <c r="A17" s="7" t="inlineStr">
        <is>
          <t>Payment Tracker</t>
        </is>
      </c>
      <c r="B17" s="8" t="inlineStr">
        <is>
          <t>Log payments linked to invoices</t>
        </is>
      </c>
    </row>
    <row r="18">
      <c r="A18" s="7" t="inlineStr">
        <is>
          <t>Invoice Generator</t>
        </is>
      </c>
      <c r="B18" s="8" t="inlineStr">
        <is>
          <t>Create printable invoices with auto-calculations</t>
        </is>
      </c>
    </row>
    <row r="19">
      <c r="A19" s="7" t="inlineStr">
        <is>
          <t>Settings</t>
        </is>
      </c>
      <c r="B19" s="8" t="inlineStr">
        <is>
          <t>Configure currency, tax rate, dropdown values</t>
        </is>
      </c>
    </row>
    <row r="21">
      <c r="A21" s="7" t="inlineStr">
        <is>
          <t>Important Notes</t>
        </is>
      </c>
    </row>
    <row r="22">
      <c r="A22" s="5" t="inlineStr">
        <is>
          <t>Gray cells contain formulas — do not edit them.</t>
        </is>
      </c>
    </row>
    <row r="23">
      <c r="A23" s="5" t="inlineStr">
        <is>
          <t>Green/white cells are for your data — enter values here.</t>
        </is>
      </c>
    </row>
    <row r="24">
      <c r="A24" s="5" t="inlineStr">
        <is>
          <t>Sample data is included as an example. Replace it with your own data.</t>
        </is>
      </c>
    </row>
    <row r="25">
      <c r="A25" s="5" t="inlineStr">
        <is>
          <t>Always keep a backup of your workbook.</t>
        </is>
      </c>
    </row>
    <row r="26">
      <c r="A26" s="5" t="inlineStr">
        <is>
          <t>For support: workbysar1@gmail.com</t>
        </is>
      </c>
    </row>
    <row r="28">
      <c r="A28" s="9" t="inlineStr">
        <is>
          <t>© Nivora</t>
        </is>
      </c>
    </row>
  </sheetData>
  <mergeCells count="3">
    <mergeCell ref="A1:C1"/>
    <mergeCell ref="A4:C4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Nivora Invoice Generator &amp; Payment Tracker</t>
        </is>
      </c>
    </row>
    <row r="3">
      <c r="A3" s="10" t="inlineStr">
        <is>
          <t>Total Revenue</t>
        </is>
      </c>
      <c r="C3" s="10" t="inlineStr">
        <is>
          <t>Paid Revenue</t>
        </is>
      </c>
      <c r="E3" s="10" t="inlineStr">
        <is>
          <t>Outstanding Revenue</t>
        </is>
      </c>
      <c r="G3" s="10" t="inlineStr">
        <is>
          <t>Total Invoices</t>
        </is>
      </c>
      <c r="H3" s="11" t="n"/>
    </row>
    <row r="4">
      <c r="A4" s="12">
        <f>SUMIFS('Invoice Register'!J:J,'Invoice Register'!M:M,"&lt;&gt;Draft")</f>
        <v/>
      </c>
      <c r="C4" s="12">
        <f>SUMIFS('Invoice Register'!J:J,'Invoice Register'!M:M,"Paid")</f>
        <v/>
      </c>
      <c r="E4" s="12">
        <f>SUMIFS('Invoice Register'!L:L,'Invoice Register'!M:M,"Sent",'Invoice Register'!L:L,"&gt;0")+SUMIFS('Invoice Register'!L:L,'Invoice Register'!M:M,"Overdue",'Invoice Register'!L:L,"&gt;0")+SUMIFS('Invoice Register'!L:L,'Invoice Register'!M:M,"Partial",'Invoice Register'!L:L,"&gt;0")</f>
        <v/>
      </c>
      <c r="G4" s="13">
        <f>COUNTIF('Invoice Register'!M:M,"&lt;&gt;")-1</f>
        <v/>
      </c>
      <c r="H4" s="11" t="n"/>
    </row>
    <row r="6">
      <c r="A6" s="10" t="inlineStr">
        <is>
          <t>Paid Invoices</t>
        </is>
      </c>
      <c r="C6" s="10" t="inlineStr">
        <is>
          <t>Unpaid Invoices</t>
        </is>
      </c>
      <c r="E6" s="10" t="inlineStr">
        <is>
          <t>Overdue Invoices</t>
        </is>
      </c>
      <c r="G6" s="10" t="inlineStr">
        <is>
          <t>Active Clients</t>
        </is>
      </c>
      <c r="H6" s="11" t="n"/>
    </row>
    <row r="7">
      <c r="A7" s="13">
        <f>COUNTIFS('Invoice Register'!M:M,"Paid")</f>
        <v/>
      </c>
      <c r="C7" s="13">
        <f>COUNTIFS('Invoice Register'!M:M,"Sent")+COUNTIFS('Invoice Register'!M:M,"Overdue")+COUNTIFS('Invoice Register'!M:M,"Partial")+COUNTIFS('Invoice Register'!M:M,"Draft")</f>
        <v/>
      </c>
      <c r="E7" s="13">
        <f>COUNTIFS('Invoice Register'!M:M,"Overdue")</f>
        <v/>
      </c>
      <c r="G7" s="13">
        <f>COUNTIFS(Clients!G:G,"Active")</f>
        <v/>
      </c>
      <c r="H7" s="11" t="n"/>
    </row>
    <row r="9">
      <c r="A9" s="10" t="inlineStr">
        <is>
          <t>Average Invoice Value</t>
        </is>
      </c>
      <c r="B9" s="14" t="n"/>
      <c r="C9" s="11" t="n"/>
    </row>
    <row r="10">
      <c r="A10" s="12">
        <f>IFERROR(SUMIFS('Invoice Register'!J:J,'Invoice Register'!M:M,"&lt;&gt;Draft")/COUNTIFS('Invoice Register'!M:M,"&lt;&gt;Draft"),0)</f>
        <v/>
      </c>
      <c r="B10" s="14" t="n"/>
      <c r="C10" s="11" t="n"/>
    </row>
    <row r="13">
      <c r="A13" s="3" t="inlineStr">
        <is>
          <t>Revenue by Month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15" t="inlineStr">
        <is>
          <t>Month</t>
        </is>
      </c>
      <c r="B14" s="14" t="n"/>
      <c r="C14" s="11" t="n"/>
      <c r="D14" s="15" t="inlineStr">
        <is>
          <t>Revenue</t>
        </is>
      </c>
      <c r="E14" s="11" t="n"/>
    </row>
    <row r="15">
      <c r="A15" s="16" t="inlineStr">
        <is>
          <t>Jan 2025</t>
        </is>
      </c>
      <c r="B15" s="14" t="n"/>
      <c r="C15" s="11" t="n"/>
      <c r="D15" s="17">
        <f>SUMIFS('Invoice Register'!J:J,'Invoice Register'!M:M,"&lt;&gt;Draft",'Invoice Register'!B:B,"&gt;="&amp;DATE(2025,1,1),'Invoice Register'!B:B,"&lt;"&amp;DATE(2025,1+1,1))</f>
        <v/>
      </c>
      <c r="E15" s="11" t="n"/>
    </row>
    <row r="16">
      <c r="A16" s="16" t="inlineStr">
        <is>
          <t>Feb 2025</t>
        </is>
      </c>
      <c r="B16" s="14" t="n"/>
      <c r="C16" s="11" t="n"/>
      <c r="D16" s="17">
        <f>SUMIFS('Invoice Register'!J:J,'Invoice Register'!M:M,"&lt;&gt;Draft",'Invoice Register'!B:B,"&gt;="&amp;DATE(2025,2,1),'Invoice Register'!B:B,"&lt;"&amp;DATE(2025,2+1,1))</f>
        <v/>
      </c>
      <c r="E16" s="11" t="n"/>
    </row>
    <row r="17">
      <c r="A17" s="16" t="inlineStr">
        <is>
          <t>Mar 2025</t>
        </is>
      </c>
      <c r="B17" s="14" t="n"/>
      <c r="C17" s="11" t="n"/>
      <c r="D17" s="17">
        <f>SUMIFS('Invoice Register'!J:J,'Invoice Register'!M:M,"&lt;&gt;Draft",'Invoice Register'!B:B,"&gt;="&amp;DATE(2025,3,1),'Invoice Register'!B:B,"&lt;"&amp;DATE(2025,3+1,1))</f>
        <v/>
      </c>
      <c r="E17" s="11" t="n"/>
    </row>
    <row r="18">
      <c r="A18" s="16" t="inlineStr">
        <is>
          <t>Apr 2025</t>
        </is>
      </c>
      <c r="B18" s="14" t="n"/>
      <c r="C18" s="11" t="n"/>
      <c r="D18" s="17">
        <f>SUMIFS('Invoice Register'!J:J,'Invoice Register'!M:M,"&lt;&gt;Draft",'Invoice Register'!B:B,"&gt;="&amp;DATE(2025,4,1),'Invoice Register'!B:B,"&lt;"&amp;DATE(2025,4+1,1))</f>
        <v/>
      </c>
      <c r="E18" s="11" t="n"/>
    </row>
    <row r="20">
      <c r="A20" s="3" t="inlineStr">
        <is>
          <t>Invoice Status Breakdown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5" t="inlineStr">
        <is>
          <t>Status</t>
        </is>
      </c>
      <c r="B21" s="14" t="n"/>
      <c r="C21" s="11" t="n"/>
      <c r="D21" s="15" t="inlineStr">
        <is>
          <t>Count</t>
        </is>
      </c>
      <c r="E21" s="11" t="n"/>
    </row>
    <row r="22">
      <c r="A22" s="16" t="inlineStr">
        <is>
          <t>Paid</t>
        </is>
      </c>
      <c r="B22" s="14" t="n"/>
      <c r="C22" s="11" t="n"/>
      <c r="D22" s="18">
        <f>COUNTIFS('Invoice Register'!M:M,"Paid")</f>
        <v/>
      </c>
      <c r="E22" s="11" t="n"/>
    </row>
    <row r="23">
      <c r="A23" s="16" t="inlineStr">
        <is>
          <t>Sent</t>
        </is>
      </c>
      <c r="B23" s="14" t="n"/>
      <c r="C23" s="11" t="n"/>
      <c r="D23" s="18">
        <f>COUNTIFS('Invoice Register'!M:M,"Sent")</f>
        <v/>
      </c>
      <c r="E23" s="11" t="n"/>
    </row>
    <row r="24">
      <c r="A24" s="16" t="inlineStr">
        <is>
          <t>Partial</t>
        </is>
      </c>
      <c r="B24" s="14" t="n"/>
      <c r="C24" s="11" t="n"/>
      <c r="D24" s="18">
        <f>COUNTIFS('Invoice Register'!M:M,"Partial")</f>
        <v/>
      </c>
      <c r="E24" s="11" t="n"/>
    </row>
    <row r="25">
      <c r="A25" s="16" t="inlineStr">
        <is>
          <t>Overdue</t>
        </is>
      </c>
      <c r="B25" s="14" t="n"/>
      <c r="C25" s="11" t="n"/>
      <c r="D25" s="18">
        <f>COUNTIFS('Invoice Register'!M:M,"Overdue")</f>
        <v/>
      </c>
      <c r="E25" s="11" t="n"/>
    </row>
    <row r="26">
      <c r="A26" s="16" t="inlineStr">
        <is>
          <t>Draft</t>
        </is>
      </c>
      <c r="B26" s="14" t="n"/>
      <c r="C26" s="11" t="n"/>
      <c r="D26" s="18">
        <f>COUNTIFS('Invoice Register'!M:M,"Draft")</f>
        <v/>
      </c>
      <c r="E26" s="11" t="n"/>
    </row>
    <row r="28">
      <c r="A28" s="3" t="inlineStr">
        <is>
          <t>Top Clients by Revenue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15" t="inlineStr">
        <is>
          <t>Client</t>
        </is>
      </c>
      <c r="B29" s="14" t="n"/>
      <c r="C29" s="14" t="n"/>
      <c r="D29" s="11" t="n"/>
      <c r="E29" s="15" t="inlineStr">
        <is>
          <t>Revenue</t>
        </is>
      </c>
      <c r="F29" s="11" t="n"/>
    </row>
    <row r="30">
      <c r="A30" s="19" t="inlineStr">
        <is>
          <t>James Wilson</t>
        </is>
      </c>
      <c r="B30" s="14" t="n"/>
      <c r="C30" s="14" t="n"/>
      <c r="D30" s="11" t="n"/>
      <c r="E30" s="17">
        <f>SUMIFS('Invoice Register'!J:J,'Invoice Register'!E:E,"James Wilson",'Invoice Register'!M:M,"&lt;&gt;Draft")</f>
        <v/>
      </c>
      <c r="F30" s="11" t="n"/>
    </row>
    <row r="31">
      <c r="A31" s="19" t="inlineStr">
        <is>
          <t>Sarah Chen</t>
        </is>
      </c>
      <c r="B31" s="14" t="n"/>
      <c r="C31" s="14" t="n"/>
      <c r="D31" s="11" t="n"/>
      <c r="E31" s="17">
        <f>SUMIFS('Invoice Register'!J:J,'Invoice Register'!E:E,"Sarah Chen",'Invoice Register'!M:M,"&lt;&gt;Draft")</f>
        <v/>
      </c>
      <c r="F31" s="11" t="n"/>
    </row>
    <row r="32">
      <c r="A32" s="19" t="inlineStr">
        <is>
          <t>Marcus Johnson</t>
        </is>
      </c>
      <c r="B32" s="14" t="n"/>
      <c r="C32" s="14" t="n"/>
      <c r="D32" s="11" t="n"/>
      <c r="E32" s="17">
        <f>SUMIFS('Invoice Register'!J:J,'Invoice Register'!E:E,"Marcus Johnson",'Invoice Register'!M:M,"&lt;&gt;Draft")</f>
        <v/>
      </c>
      <c r="F32" s="11" t="n"/>
    </row>
    <row r="33">
      <c r="A33" s="19" t="inlineStr">
        <is>
          <t>Aisha Patel</t>
        </is>
      </c>
      <c r="B33" s="14" t="n"/>
      <c r="C33" s="14" t="n"/>
      <c r="D33" s="11" t="n"/>
      <c r="E33" s="17">
        <f>SUMIFS('Invoice Register'!J:J,'Invoice Register'!E:E,"Aisha Patel",'Invoice Register'!M:M,"&lt;&gt;Draft")</f>
        <v/>
      </c>
      <c r="F33" s="11" t="n"/>
    </row>
    <row r="34">
      <c r="A34" s="19" t="inlineStr">
        <is>
          <t>David Kim</t>
        </is>
      </c>
      <c r="B34" s="14" t="n"/>
      <c r="C34" s="14" t="n"/>
      <c r="D34" s="11" t="n"/>
      <c r="E34" s="17">
        <f>SUMIFS('Invoice Register'!J:J,'Invoice Register'!E:E,"David Kim",'Invoice Register'!M:M,"&lt;&gt;Draft")</f>
        <v/>
      </c>
      <c r="F34" s="11" t="n"/>
    </row>
    <row r="35">
      <c r="A35" s="19" t="inlineStr">
        <is>
          <t>Elena Rodriguez</t>
        </is>
      </c>
      <c r="B35" s="14" t="n"/>
      <c r="C35" s="14" t="n"/>
      <c r="D35" s="11" t="n"/>
      <c r="E35" s="17">
        <f>SUMIFS('Invoice Register'!J:J,'Invoice Register'!E:E,"Elena Rodriguez",'Invoice Register'!M:M,"&lt;&gt;Draft")</f>
        <v/>
      </c>
      <c r="F35" s="11" t="n"/>
    </row>
  </sheetData>
  <mergeCells count="58">
    <mergeCell ref="A25:C25"/>
    <mergeCell ref="A4"/>
    <mergeCell ref="A35:D35"/>
    <mergeCell ref="C7"/>
    <mergeCell ref="E33:F33"/>
    <mergeCell ref="E7"/>
    <mergeCell ref="A18:C18"/>
    <mergeCell ref="A29:D29"/>
    <mergeCell ref="A21:C21"/>
    <mergeCell ref="D22:E22"/>
    <mergeCell ref="A1:H1"/>
    <mergeCell ref="A26:C26"/>
    <mergeCell ref="D21:E21"/>
    <mergeCell ref="E35:F35"/>
    <mergeCell ref="A31:D31"/>
    <mergeCell ref="C3"/>
    <mergeCell ref="G7:H7"/>
    <mergeCell ref="A23:C23"/>
    <mergeCell ref="E3"/>
    <mergeCell ref="A14:C14"/>
    <mergeCell ref="E29:F29"/>
    <mergeCell ref="A30:D30"/>
    <mergeCell ref="A22:C22"/>
    <mergeCell ref="A17:C17"/>
    <mergeCell ref="A34:D34"/>
    <mergeCell ref="C6"/>
    <mergeCell ref="G6:H6"/>
    <mergeCell ref="D17:E17"/>
    <mergeCell ref="G3:H3"/>
    <mergeCell ref="E31:F31"/>
    <mergeCell ref="A10:C10"/>
    <mergeCell ref="E34:F34"/>
    <mergeCell ref="A6"/>
    <mergeCell ref="D16:E16"/>
    <mergeCell ref="E30:F30"/>
    <mergeCell ref="C4"/>
    <mergeCell ref="E4"/>
    <mergeCell ref="A7"/>
    <mergeCell ref="A9:C9"/>
    <mergeCell ref="D18:E18"/>
    <mergeCell ref="A15:C15"/>
    <mergeCell ref="A24:C24"/>
    <mergeCell ref="D25:E25"/>
    <mergeCell ref="G4:H4"/>
    <mergeCell ref="D24:E24"/>
    <mergeCell ref="E32:F32"/>
    <mergeCell ref="A3"/>
    <mergeCell ref="D15:E15"/>
    <mergeCell ref="A20:H20"/>
    <mergeCell ref="D23:E23"/>
    <mergeCell ref="A28:H28"/>
    <mergeCell ref="E6"/>
    <mergeCell ref="A13:H13"/>
    <mergeCell ref="D14:E14"/>
    <mergeCell ref="A33:D33"/>
    <mergeCell ref="D26:E26"/>
    <mergeCell ref="A32:D3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0" customWidth="1" min="4" max="4"/>
    <col width="18" customWidth="1" min="5" max="5"/>
    <col width="30" customWidth="1" min="6" max="6"/>
    <col width="14" customWidth="1" min="7" max="7"/>
    <col width="30" customWidth="1" min="8" max="8"/>
  </cols>
  <sheetData>
    <row r="1">
      <c r="A1" s="20" t="inlineStr">
        <is>
          <t>Client ID</t>
        </is>
      </c>
      <c r="B1" s="20" t="inlineStr">
        <is>
          <t>Client Name</t>
        </is>
      </c>
      <c r="C1" s="20" t="inlineStr">
        <is>
          <t>Company</t>
        </is>
      </c>
      <c r="D1" s="20" t="inlineStr">
        <is>
          <t>Email</t>
        </is>
      </c>
      <c r="E1" s="20" t="inlineStr">
        <is>
          <t>Phone</t>
        </is>
      </c>
      <c r="F1" s="20" t="inlineStr">
        <is>
          <t>Address</t>
        </is>
      </c>
      <c r="G1" s="20" t="inlineStr">
        <is>
          <t>Status</t>
        </is>
      </c>
      <c r="H1" s="20" t="inlineStr">
        <is>
          <t>Notes</t>
        </is>
      </c>
    </row>
    <row r="2">
      <c r="A2" s="19" t="inlineStr">
        <is>
          <t>CL-001</t>
        </is>
      </c>
      <c r="B2" s="19" t="inlineStr">
        <is>
          <t>Sarah Chen</t>
        </is>
      </c>
      <c r="C2" s="19" t="inlineStr">
        <is>
          <t>Chen Design Studio</t>
        </is>
      </c>
      <c r="D2" s="19" t="inlineStr">
        <is>
          <t>sarah@chendesign.com</t>
        </is>
      </c>
      <c r="E2" s="19" t="inlineStr">
        <is>
          <t>555-0101</t>
        </is>
      </c>
      <c r="F2" s="19" t="inlineStr">
        <is>
          <t>123 Design St, San Francisco, CA 94102</t>
        </is>
      </c>
      <c r="G2" s="16" t="inlineStr">
        <is>
          <t>Active</t>
        </is>
      </c>
      <c r="H2" s="19" t="inlineStr">
        <is>
          <t>Graphic design retainer</t>
        </is>
      </c>
    </row>
    <row r="3">
      <c r="A3" s="19" t="inlineStr">
        <is>
          <t>CL-002</t>
        </is>
      </c>
      <c r="B3" s="19" t="inlineStr">
        <is>
          <t>Marcus Johnson</t>
        </is>
      </c>
      <c r="C3" s="19" t="inlineStr">
        <is>
          <t>Johnson Consulting</t>
        </is>
      </c>
      <c r="D3" s="19" t="inlineStr">
        <is>
          <t>marcus@johnsonconsulting.com</t>
        </is>
      </c>
      <c r="E3" s="19" t="inlineStr">
        <is>
          <t>555-0102</t>
        </is>
      </c>
      <c r="F3" s="19" t="inlineStr">
        <is>
          <t>456 Business Ave, Austin, TX 73301</t>
        </is>
      </c>
      <c r="G3" s="16" t="inlineStr">
        <is>
          <t>Active</t>
        </is>
      </c>
      <c r="H3" s="19" t="inlineStr">
        <is>
          <t>Monthly strategy consulting</t>
        </is>
      </c>
    </row>
    <row r="4">
      <c r="A4" s="19" t="inlineStr">
        <is>
          <t>CL-003</t>
        </is>
      </c>
      <c r="B4" s="19" t="inlineStr">
        <is>
          <t>Elena Rodriguez</t>
        </is>
      </c>
      <c r="C4" s="19" t="inlineStr">
        <is>
          <t>Rodriguez Web Services</t>
        </is>
      </c>
      <c r="D4" s="19" t="inlineStr">
        <is>
          <t>elena@rodriguezweb.com</t>
        </is>
      </c>
      <c r="E4" s="19" t="inlineStr">
        <is>
          <t>555-0103</t>
        </is>
      </c>
      <c r="F4" s="19" t="inlineStr">
        <is>
          <t>789 Tech Blvd, Miami, FL 33101</t>
        </is>
      </c>
      <c r="G4" s="16" t="inlineStr">
        <is>
          <t>Active</t>
        </is>
      </c>
      <c r="H4" s="19" t="inlineStr">
        <is>
          <t>Web development projects</t>
        </is>
      </c>
    </row>
    <row r="5">
      <c r="A5" s="19" t="inlineStr">
        <is>
          <t>CL-004</t>
        </is>
      </c>
      <c r="B5" s="19" t="inlineStr">
        <is>
          <t>David Kim</t>
        </is>
      </c>
      <c r="C5" s="19" t="inlineStr">
        <is>
          <t>Kim &amp; Co. Marketing</t>
        </is>
      </c>
      <c r="D5" s="19" t="inlineStr">
        <is>
          <t>david@kimmarketing.com</t>
        </is>
      </c>
      <c r="E5" s="19" t="inlineStr">
        <is>
          <t>555-0104</t>
        </is>
      </c>
      <c r="F5" s="19" t="inlineStr">
        <is>
          <t>321 Market St, Chicago, IL 60601</t>
        </is>
      </c>
      <c r="G5" s="16" t="inlineStr">
        <is>
          <t>Active</t>
        </is>
      </c>
      <c r="H5" s="19" t="inlineStr">
        <is>
          <t>SEO and content marketing</t>
        </is>
      </c>
    </row>
    <row r="6">
      <c r="A6" s="19" t="inlineStr">
        <is>
          <t>CL-005</t>
        </is>
      </c>
      <c r="B6" s="19" t="inlineStr">
        <is>
          <t>Aisha Patel</t>
        </is>
      </c>
      <c r="C6" s="19" t="inlineStr">
        <is>
          <t>Patel Digital Solutions</t>
        </is>
      </c>
      <c r="D6" s="19" t="inlineStr">
        <is>
          <t>aisha@pateldigital.com</t>
        </is>
      </c>
      <c r="E6" s="19" t="inlineStr">
        <is>
          <t>555-0105</t>
        </is>
      </c>
      <c r="F6" s="19" t="inlineStr">
        <is>
          <t>654 Innovation Dr, Seattle, WA 98101</t>
        </is>
      </c>
      <c r="G6" s="16" t="inlineStr">
        <is>
          <t>Active</t>
        </is>
      </c>
      <c r="H6" s="19" t="inlineStr">
        <is>
          <t>Digital transformation consulting</t>
        </is>
      </c>
    </row>
    <row r="7">
      <c r="A7" s="19" t="inlineStr">
        <is>
          <t>CL-006</t>
        </is>
      </c>
      <c r="B7" s="19" t="inlineStr">
        <is>
          <t>James Wilson</t>
        </is>
      </c>
      <c r="C7" s="19" t="inlineStr">
        <is>
          <t>Wilson Creative Agency</t>
        </is>
      </c>
      <c r="D7" s="19" t="inlineStr">
        <is>
          <t>james@wilsoncreative.com</t>
        </is>
      </c>
      <c r="E7" s="19" t="inlineStr">
        <is>
          <t>555-0106</t>
        </is>
      </c>
      <c r="F7" s="19" t="inlineStr">
        <is>
          <t>987 Artisan Way, New York, NY 10001</t>
        </is>
      </c>
      <c r="G7" s="16" t="inlineStr">
        <is>
          <t>Active</t>
        </is>
      </c>
      <c r="H7" s="19" t="inlineStr">
        <is>
          <t>Brand design and strategy</t>
        </is>
      </c>
    </row>
    <row r="8">
      <c r="A8" s="19" t="inlineStr">
        <is>
          <t>CL-007</t>
        </is>
      </c>
      <c r="B8" s="19" t="inlineStr">
        <is>
          <t>Priya Sharma</t>
        </is>
      </c>
      <c r="C8" s="19" t="inlineStr">
        <is>
          <t>Sharma Bookkeeping</t>
        </is>
      </c>
      <c r="D8" s="19" t="inlineStr">
        <is>
          <t>priya@sharmabooks.com</t>
        </is>
      </c>
      <c r="E8" s="19" t="inlineStr">
        <is>
          <t>555-0107</t>
        </is>
      </c>
      <c r="F8" s="19" t="inlineStr">
        <is>
          <t>147 Finance St, Denver, CO 80201</t>
        </is>
      </c>
      <c r="G8" s="16" t="inlineStr">
        <is>
          <t>Inactive</t>
        </is>
      </c>
      <c r="H8" s="19" t="inlineStr">
        <is>
          <t>Previous bookkeeping client</t>
        </is>
      </c>
    </row>
    <row r="9">
      <c r="A9" s="19" t="inlineStr">
        <is>
          <t>CL-008</t>
        </is>
      </c>
      <c r="B9" s="19" t="inlineStr">
        <is>
          <t>Carlos Mendez</t>
        </is>
      </c>
      <c r="C9" s="19" t="inlineStr">
        <is>
          <t>Mendez Tech Services</t>
        </is>
      </c>
      <c r="D9" s="19" t="inlineStr">
        <is>
          <t>carlos@mendezteck.com</t>
        </is>
      </c>
      <c r="E9" s="19" t="inlineStr">
        <is>
          <t>555-0108</t>
        </is>
      </c>
      <c r="F9" s="19" t="inlineStr">
        <is>
          <t>258 Code Ln, Portland, OR 97201</t>
        </is>
      </c>
      <c r="G9" s="16" t="inlineStr">
        <is>
          <t>Active</t>
        </is>
      </c>
      <c r="H9" s="19" t="inlineStr">
        <is>
          <t>IT support retainer</t>
        </is>
      </c>
    </row>
    <row r="10">
      <c r="A10" s="19" t="inlineStr">
        <is>
          <t>CL-009</t>
        </is>
      </c>
      <c r="B10" s="19" t="inlineStr">
        <is>
          <t>Olivia Thompson</t>
        </is>
      </c>
      <c r="C10" s="19" t="inlineStr">
        <is>
          <t>Thompson Freelance Writing</t>
        </is>
      </c>
      <c r="D10" s="19" t="inlineStr">
        <is>
          <t>olivia@thompsonwrite.com</t>
        </is>
      </c>
      <c r="E10" s="19" t="inlineStr">
        <is>
          <t>555-0109</t>
        </is>
      </c>
      <c r="F10" s="19" t="inlineStr">
        <is>
          <t>369 Wordsmith Rd, Boston, MA 02101</t>
        </is>
      </c>
      <c r="G10" s="16" t="inlineStr">
        <is>
          <t>Active</t>
        </is>
      </c>
      <c r="H10" s="19" t="inlineStr">
        <is>
          <t>Content writing projects</t>
        </is>
      </c>
    </row>
    <row r="11">
      <c r="A11" s="19" t="inlineStr">
        <is>
          <t>CL-010</t>
        </is>
      </c>
      <c r="B11" s="19" t="inlineStr">
        <is>
          <t>Ben Okafor</t>
        </is>
      </c>
      <c r="C11" s="19" t="inlineStr">
        <is>
          <t>Okafor Design Lab</t>
        </is>
      </c>
      <c r="D11" s="19" t="inlineStr">
        <is>
          <t>ben@okaforlab.com</t>
        </is>
      </c>
      <c r="E11" s="19" t="inlineStr">
        <is>
          <t>555-0110</t>
        </is>
      </c>
      <c r="F11" s="19" t="inlineStr">
        <is>
          <t>741 Creative Ct, Atlanta, GA 30301</t>
        </is>
      </c>
      <c r="G11" s="16" t="inlineStr">
        <is>
          <t>Archived</t>
        </is>
      </c>
      <c r="H11" s="19" t="inlineStr">
        <is>
          <t>Completed project work</t>
        </is>
      </c>
    </row>
  </sheetData>
  <dataValidations count="1">
    <dataValidation sqref="G2:G11" showDropDown="0" showInputMessage="0" showErrorMessage="0" allowBlank="1" errorTitle="Invalid Status" error="Please select Active, Inactive, or Archived" type="list">
      <formula1>Settings!$C$6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2" customWidth="1" min="5" max="5"/>
    <col width="2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0" t="inlineStr">
        <is>
          <t>Invoice ID</t>
        </is>
      </c>
      <c r="B1" s="20" t="inlineStr">
        <is>
          <t>Invoice Date</t>
        </is>
      </c>
      <c r="C1" s="20" t="inlineStr">
        <is>
          <t>Due Date</t>
        </is>
      </c>
      <c r="D1" s="20" t="inlineStr">
        <is>
          <t>Client ID</t>
        </is>
      </c>
      <c r="E1" s="20" t="inlineStr">
        <is>
          <t>Client Name</t>
        </is>
      </c>
      <c r="F1" s="20" t="inlineStr">
        <is>
          <t>Description</t>
        </is>
      </c>
      <c r="G1" s="20" t="inlineStr">
        <is>
          <t>Subtotal</t>
        </is>
      </c>
      <c r="H1" s="20" t="inlineStr">
        <is>
          <t>Tax Rate</t>
        </is>
      </c>
      <c r="I1" s="20" t="inlineStr">
        <is>
          <t>Tax Amount</t>
        </is>
      </c>
      <c r="J1" s="20" t="inlineStr">
        <is>
          <t>Total</t>
        </is>
      </c>
      <c r="K1" s="20" t="inlineStr">
        <is>
          <t>Amount Paid</t>
        </is>
      </c>
      <c r="L1" s="20" t="inlineStr">
        <is>
          <t>Outstanding</t>
        </is>
      </c>
      <c r="M1" s="20" t="inlineStr">
        <is>
          <t>Status</t>
        </is>
      </c>
    </row>
    <row r="2">
      <c r="A2" s="16" t="inlineStr">
        <is>
          <t>INV-001</t>
        </is>
      </c>
      <c r="B2" s="21" t="n">
        <v>45662</v>
      </c>
      <c r="C2" s="21" t="n">
        <v>45693</v>
      </c>
      <c r="D2" s="16" t="inlineStr">
        <is>
          <t>CL-001</t>
        </is>
      </c>
      <c r="E2" s="19" t="inlineStr">
        <is>
          <t>Sarah Chen</t>
        </is>
      </c>
      <c r="F2" s="19" t="inlineStr">
        <is>
          <t>Brand identity design</t>
        </is>
      </c>
      <c r="G2" s="22" t="n">
        <v>1500</v>
      </c>
      <c r="H2" s="23" t="n">
        <v>0.1</v>
      </c>
      <c r="I2" s="24">
        <f>G2*H2</f>
        <v/>
      </c>
      <c r="J2" s="24">
        <f>G2+I2</f>
        <v/>
      </c>
      <c r="K2" s="25" t="n">
        <v>1650</v>
      </c>
      <c r="L2" s="24">
        <f>J2-K2</f>
        <v/>
      </c>
      <c r="M2" s="26">
        <f>IF(L2=0,"Paid",IF(TODAY()&gt;C2,"Overdue",IF(K2&gt;0,"Partial","Sent")))</f>
        <v/>
      </c>
    </row>
    <row r="3">
      <c r="A3" s="16" t="inlineStr">
        <is>
          <t>INV-002</t>
        </is>
      </c>
      <c r="B3" s="21" t="n">
        <v>45665</v>
      </c>
      <c r="C3" s="21" t="n">
        <v>45696</v>
      </c>
      <c r="D3" s="16" t="inlineStr">
        <is>
          <t>CL-002</t>
        </is>
      </c>
      <c r="E3" s="19" t="inlineStr">
        <is>
          <t>Marcus Johnson</t>
        </is>
      </c>
      <c r="F3" s="19" t="inlineStr">
        <is>
          <t>Q1 strategy consulting</t>
        </is>
      </c>
      <c r="G3" s="22" t="n">
        <v>2500</v>
      </c>
      <c r="H3" s="23" t="n">
        <v>0.1</v>
      </c>
      <c r="I3" s="24">
        <f>G3*H3</f>
        <v/>
      </c>
      <c r="J3" s="24">
        <f>G3+I3</f>
        <v/>
      </c>
      <c r="K3" s="25" t="n">
        <v>2750</v>
      </c>
      <c r="L3" s="24">
        <f>J3-K3</f>
        <v/>
      </c>
      <c r="M3" s="26">
        <f>IF(L3=0,"Paid",IF(TODAY()&gt;C3,"Overdue",IF(K3&gt;0,"Partial","Sent")))</f>
        <v/>
      </c>
    </row>
    <row r="4">
      <c r="A4" s="16" t="inlineStr">
        <is>
          <t>INV-003</t>
        </is>
      </c>
      <c r="B4" s="21" t="n">
        <v>45669</v>
      </c>
      <c r="C4" s="21" t="n">
        <v>45700</v>
      </c>
      <c r="D4" s="16" t="inlineStr">
        <is>
          <t>CL-003</t>
        </is>
      </c>
      <c r="E4" s="19" t="inlineStr">
        <is>
          <t>Elena Rodriguez</t>
        </is>
      </c>
      <c r="F4" s="19" t="inlineStr">
        <is>
          <t>Website redesign</t>
        </is>
      </c>
      <c r="G4" s="22" t="n">
        <v>1800</v>
      </c>
      <c r="H4" s="23" t="n">
        <v>0.1</v>
      </c>
      <c r="I4" s="24">
        <f>G4*H4</f>
        <v/>
      </c>
      <c r="J4" s="24">
        <f>G4+I4</f>
        <v/>
      </c>
      <c r="K4" s="25" t="n">
        <v>1980</v>
      </c>
      <c r="L4" s="24">
        <f>J4-K4</f>
        <v/>
      </c>
      <c r="M4" s="26">
        <f>IF(L4=0,"Paid",IF(TODAY()&gt;C4,"Overdue",IF(K4&gt;0,"Partial","Sent")))</f>
        <v/>
      </c>
    </row>
    <row r="5">
      <c r="A5" s="16" t="inlineStr">
        <is>
          <t>INV-004</t>
        </is>
      </c>
      <c r="B5" s="21" t="n">
        <v>45672</v>
      </c>
      <c r="C5" s="21" t="n">
        <v>45703</v>
      </c>
      <c r="D5" s="16" t="inlineStr">
        <is>
          <t>CL-004</t>
        </is>
      </c>
      <c r="E5" s="19" t="inlineStr">
        <is>
          <t>David Kim</t>
        </is>
      </c>
      <c r="F5" s="19" t="inlineStr">
        <is>
          <t>SEO audit and recommendations</t>
        </is>
      </c>
      <c r="G5" s="22" t="n">
        <v>3200</v>
      </c>
      <c r="H5" s="23" t="n">
        <v>0.1</v>
      </c>
      <c r="I5" s="24">
        <f>G5*H5</f>
        <v/>
      </c>
      <c r="J5" s="24">
        <f>G5+I5</f>
        <v/>
      </c>
      <c r="K5" s="25" t="n">
        <v>3520</v>
      </c>
      <c r="L5" s="24">
        <f>J5-K5</f>
        <v/>
      </c>
      <c r="M5" s="26">
        <f>IF(L5=0,"Paid",IF(TODAY()&gt;C5,"Overdue",IF(K5&gt;0,"Partial","Sent")))</f>
        <v/>
      </c>
    </row>
    <row r="6">
      <c r="A6" s="16" t="inlineStr">
        <is>
          <t>INV-005</t>
        </is>
      </c>
      <c r="B6" s="21" t="n">
        <v>45677</v>
      </c>
      <c r="C6" s="21" t="n">
        <v>45708</v>
      </c>
      <c r="D6" s="16" t="inlineStr">
        <is>
          <t>CL-005</t>
        </is>
      </c>
      <c r="E6" s="19" t="inlineStr">
        <is>
          <t>Aisha Patel</t>
        </is>
      </c>
      <c r="F6" s="19" t="inlineStr">
        <is>
          <t>Digital strategy workshop</t>
        </is>
      </c>
      <c r="G6" s="22" t="n">
        <v>2100</v>
      </c>
      <c r="H6" s="23" t="n">
        <v>0.1</v>
      </c>
      <c r="I6" s="24">
        <f>G6*H6</f>
        <v/>
      </c>
      <c r="J6" s="24">
        <f>G6+I6</f>
        <v/>
      </c>
      <c r="K6" s="25" t="n">
        <v>2310</v>
      </c>
      <c r="L6" s="24">
        <f>J6-K6</f>
        <v/>
      </c>
      <c r="M6" s="26">
        <f>IF(L6=0,"Paid",IF(TODAY()&gt;C6,"Overdue",IF(K6&gt;0,"Partial","Sent")))</f>
        <v/>
      </c>
    </row>
    <row r="7">
      <c r="A7" s="16" t="inlineStr">
        <is>
          <t>INV-006</t>
        </is>
      </c>
      <c r="B7" s="21" t="n">
        <v>45682</v>
      </c>
      <c r="C7" s="21" t="n">
        <v>45713</v>
      </c>
      <c r="D7" s="16" t="inlineStr">
        <is>
          <t>CL-006</t>
        </is>
      </c>
      <c r="E7" s="19" t="inlineStr">
        <is>
          <t>James Wilson</t>
        </is>
      </c>
      <c r="F7" s="19" t="inlineStr">
        <is>
          <t>Brand campaign Q1</t>
        </is>
      </c>
      <c r="G7" s="22" t="n">
        <v>4000</v>
      </c>
      <c r="H7" s="23" t="n">
        <v>0.1</v>
      </c>
      <c r="I7" s="24">
        <f>G7*H7</f>
        <v/>
      </c>
      <c r="J7" s="24">
        <f>G7+I7</f>
        <v/>
      </c>
      <c r="K7" s="25" t="n">
        <v>2200</v>
      </c>
      <c r="L7" s="24">
        <f>J7-K7</f>
        <v/>
      </c>
      <c r="M7" s="26">
        <f>IF(L7=0,"Paid",IF(TODAY()&gt;C7,"Overdue",IF(K7&gt;0,"Partial","Sent")))</f>
        <v/>
      </c>
    </row>
    <row r="8">
      <c r="A8" s="16" t="inlineStr">
        <is>
          <t>INV-007</t>
        </is>
      </c>
      <c r="B8" s="21" t="n">
        <v>45690</v>
      </c>
      <c r="C8" s="21" t="n">
        <v>45718</v>
      </c>
      <c r="D8" s="16" t="inlineStr">
        <is>
          <t>CL-001</t>
        </is>
      </c>
      <c r="E8" s="19" t="inlineStr">
        <is>
          <t>Sarah Chen</t>
        </is>
      </c>
      <c r="F8" s="19" t="inlineStr">
        <is>
          <t>Website UI design</t>
        </is>
      </c>
      <c r="G8" s="22" t="n">
        <v>1600</v>
      </c>
      <c r="H8" s="23" t="n">
        <v>0.1</v>
      </c>
      <c r="I8" s="24">
        <f>G8*H8</f>
        <v/>
      </c>
      <c r="J8" s="24">
        <f>G8+I8</f>
        <v/>
      </c>
      <c r="K8" s="25" t="n">
        <v>1760</v>
      </c>
      <c r="L8" s="24">
        <f>J8-K8</f>
        <v/>
      </c>
      <c r="M8" s="26">
        <f>IF(L8=0,"Paid",IF(TODAY()&gt;C8,"Overdue",IF(K8&gt;0,"Partial","Sent")))</f>
        <v/>
      </c>
    </row>
    <row r="9">
      <c r="A9" s="16" t="inlineStr">
        <is>
          <t>INV-008</t>
        </is>
      </c>
      <c r="B9" s="21" t="n">
        <v>45693</v>
      </c>
      <c r="C9" s="21" t="n">
        <v>45721</v>
      </c>
      <c r="D9" s="16" t="inlineStr">
        <is>
          <t>CL-008</t>
        </is>
      </c>
      <c r="E9" s="19" t="inlineStr">
        <is>
          <t>Carlos Mendez</t>
        </is>
      </c>
      <c r="F9" s="19" t="inlineStr">
        <is>
          <t>IT infrastructure audit</t>
        </is>
      </c>
      <c r="G9" s="22" t="n">
        <v>950</v>
      </c>
      <c r="H9" s="23" t="n">
        <v>0.1</v>
      </c>
      <c r="I9" s="24">
        <f>G9*H9</f>
        <v/>
      </c>
      <c r="J9" s="24">
        <f>G9+I9</f>
        <v/>
      </c>
      <c r="K9" s="25" t="n">
        <v>1045</v>
      </c>
      <c r="L9" s="24">
        <f>J9-K9</f>
        <v/>
      </c>
      <c r="M9" s="26">
        <f>IF(L9=0,"Paid",IF(TODAY()&gt;C9,"Overdue",IF(K9&gt;0,"Partial","Sent")))</f>
        <v/>
      </c>
    </row>
    <row r="10">
      <c r="A10" s="16" t="inlineStr">
        <is>
          <t>INV-009</t>
        </is>
      </c>
      <c r="B10" s="21" t="n">
        <v>45698</v>
      </c>
      <c r="C10" s="21" t="n">
        <v>45726</v>
      </c>
      <c r="D10" s="16" t="inlineStr">
        <is>
          <t>CL-009</t>
        </is>
      </c>
      <c r="E10" s="19" t="inlineStr">
        <is>
          <t>Olivia Thompson</t>
        </is>
      </c>
      <c r="F10" s="19" t="inlineStr">
        <is>
          <t>Blog content package</t>
        </is>
      </c>
      <c r="G10" s="22" t="n">
        <v>750</v>
      </c>
      <c r="H10" s="23" t="n">
        <v>0.1</v>
      </c>
      <c r="I10" s="24">
        <f>G10*H10</f>
        <v/>
      </c>
      <c r="J10" s="24">
        <f>G10+I10</f>
        <v/>
      </c>
      <c r="K10" s="25" t="n">
        <v>825</v>
      </c>
      <c r="L10" s="24">
        <f>J10-K10</f>
        <v/>
      </c>
      <c r="M10" s="26">
        <f>IF(L10=0,"Paid",IF(TODAY()&gt;C10,"Overdue",IF(K10&gt;0,"Partial","Sent")))</f>
        <v/>
      </c>
    </row>
    <row r="11">
      <c r="A11" s="16" t="inlineStr">
        <is>
          <t>INV-010</t>
        </is>
      </c>
      <c r="B11" s="21" t="n">
        <v>45700</v>
      </c>
      <c r="C11" s="21" t="n">
        <v>45728</v>
      </c>
      <c r="D11" s="16" t="inlineStr">
        <is>
          <t>CL-002</t>
        </is>
      </c>
      <c r="E11" s="19" t="inlineStr">
        <is>
          <t>Marcus Johnson</t>
        </is>
      </c>
      <c r="F11" s="19" t="inlineStr">
        <is>
          <t>Market research report</t>
        </is>
      </c>
      <c r="G11" s="22" t="n">
        <v>2800</v>
      </c>
      <c r="H11" s="23" t="n">
        <v>0.1</v>
      </c>
      <c r="I11" s="24">
        <f>G11*H11</f>
        <v/>
      </c>
      <c r="J11" s="24">
        <f>G11+I11</f>
        <v/>
      </c>
      <c r="K11" s="25" t="n">
        <v>1400</v>
      </c>
      <c r="L11" s="24">
        <f>J11-K11</f>
        <v/>
      </c>
      <c r="M11" s="26">
        <f>IF(L11=0,"Paid",IF(TODAY()&gt;C11,"Overdue",IF(K11&gt;0,"Partial","Sent")))</f>
        <v/>
      </c>
    </row>
    <row r="12">
      <c r="A12" s="16" t="inlineStr">
        <is>
          <t>INV-011</t>
        </is>
      </c>
      <c r="B12" s="21" t="n">
        <v>45706</v>
      </c>
      <c r="C12" s="21" t="n">
        <v>45734</v>
      </c>
      <c r="D12" s="16" t="inlineStr">
        <is>
          <t>CL-003</t>
        </is>
      </c>
      <c r="E12" s="19" t="inlineStr">
        <is>
          <t>Elena Rodriguez</t>
        </is>
      </c>
      <c r="F12" s="19" t="inlineStr">
        <is>
          <t>API integration</t>
        </is>
      </c>
      <c r="G12" s="22" t="n">
        <v>1500</v>
      </c>
      <c r="H12" s="23" t="n">
        <v>0.1</v>
      </c>
      <c r="I12" s="24">
        <f>G12*H12</f>
        <v/>
      </c>
      <c r="J12" s="24">
        <f>G12+I12</f>
        <v/>
      </c>
      <c r="K12" s="25" t="n">
        <v>0</v>
      </c>
      <c r="L12" s="24">
        <f>J12-K12</f>
        <v/>
      </c>
      <c r="M12" s="26">
        <f>IF(L12=0,"Paid",IF(TODAY()&gt;C12,"Overdue",IF(K12&gt;0,"Partial","Sent")))</f>
        <v/>
      </c>
    </row>
    <row r="13">
      <c r="A13" s="16" t="inlineStr">
        <is>
          <t>INV-012</t>
        </is>
      </c>
      <c r="B13" s="21" t="n">
        <v>45710</v>
      </c>
      <c r="C13" s="21" t="n">
        <v>45738</v>
      </c>
      <c r="D13" s="16" t="inlineStr">
        <is>
          <t>CL-006</t>
        </is>
      </c>
      <c r="E13" s="19" t="inlineStr">
        <is>
          <t>James Wilson</t>
        </is>
      </c>
      <c r="F13" s="19" t="inlineStr">
        <is>
          <t>Q2 campaign planning</t>
        </is>
      </c>
      <c r="G13" s="22" t="n">
        <v>3500</v>
      </c>
      <c r="H13" s="23" t="n">
        <v>0.1</v>
      </c>
      <c r="I13" s="24">
        <f>G13*H13</f>
        <v/>
      </c>
      <c r="J13" s="24">
        <f>G13+I13</f>
        <v/>
      </c>
      <c r="K13" s="25" t="n">
        <v>0</v>
      </c>
      <c r="L13" s="24">
        <f>J13-K13</f>
        <v/>
      </c>
      <c r="M13" s="26">
        <f>IF(L13=0,"Paid",IF(TODAY()&gt;C13,"Overdue",IF(K13&gt;0,"Partial","Sent")))</f>
        <v/>
      </c>
    </row>
    <row r="14">
      <c r="A14" s="16" t="inlineStr">
        <is>
          <t>INV-013</t>
        </is>
      </c>
      <c r="B14" s="21" t="n">
        <v>45713</v>
      </c>
      <c r="C14" s="21" t="n">
        <v>45741</v>
      </c>
      <c r="D14" s="16" t="inlineStr">
        <is>
          <t>CL-004</t>
        </is>
      </c>
      <c r="E14" s="19" t="inlineStr">
        <is>
          <t>David Kim</t>
        </is>
      </c>
      <c r="F14" s="19" t="inlineStr">
        <is>
          <t>Monthly SEO retainer</t>
        </is>
      </c>
      <c r="G14" s="22" t="n">
        <v>1800</v>
      </c>
      <c r="H14" s="23" t="n">
        <v>0.1</v>
      </c>
      <c r="I14" s="24">
        <f>G14*H14</f>
        <v/>
      </c>
      <c r="J14" s="24">
        <f>G14+I14</f>
        <v/>
      </c>
      <c r="K14" s="25" t="n">
        <v>0</v>
      </c>
      <c r="L14" s="24">
        <f>J14-K14</f>
        <v/>
      </c>
      <c r="M14" s="26">
        <f>IF(L14=0,"Paid",IF(TODAY()&gt;C14,"Overdue",IF(K14&gt;0,"Partial","Sent")))</f>
        <v/>
      </c>
    </row>
    <row r="15">
      <c r="A15" s="16" t="inlineStr">
        <is>
          <t>INV-014</t>
        </is>
      </c>
      <c r="B15" s="21" t="n">
        <v>45717</v>
      </c>
      <c r="C15" s="21" t="n">
        <v>45748</v>
      </c>
      <c r="D15" s="16" t="inlineStr">
        <is>
          <t>CL-005</t>
        </is>
      </c>
      <c r="E15" s="19" t="inlineStr">
        <is>
          <t>Aisha Patel</t>
        </is>
      </c>
      <c r="F15" s="19" t="inlineStr">
        <is>
          <t>Data analytics setup</t>
        </is>
      </c>
      <c r="G15" s="22" t="n">
        <v>2200</v>
      </c>
      <c r="H15" s="23" t="n">
        <v>0.1</v>
      </c>
      <c r="I15" s="24">
        <f>G15*H15</f>
        <v/>
      </c>
      <c r="J15" s="24">
        <f>G15+I15</f>
        <v/>
      </c>
      <c r="K15" s="25" t="n">
        <v>1210</v>
      </c>
      <c r="L15" s="24">
        <f>J15-K15</f>
        <v/>
      </c>
      <c r="M15" s="26">
        <f>IF(L15=0,"Paid",IF(TODAY()&gt;C15,"Overdue",IF(K15&gt;0,"Partial","Sent")))</f>
        <v/>
      </c>
    </row>
    <row r="16">
      <c r="A16" s="16" t="inlineStr">
        <is>
          <t>INV-015</t>
        </is>
      </c>
      <c r="B16" s="21" t="n">
        <v>45721</v>
      </c>
      <c r="C16" s="21" t="n">
        <v>46482</v>
      </c>
      <c r="D16" s="16" t="inlineStr">
        <is>
          <t>CL-001</t>
        </is>
      </c>
      <c r="E16" s="19" t="inlineStr">
        <is>
          <t>Sarah Chen</t>
        </is>
      </c>
      <c r="F16" s="19" t="inlineStr">
        <is>
          <t>Mobile app mockups</t>
        </is>
      </c>
      <c r="G16" s="22" t="n">
        <v>1400</v>
      </c>
      <c r="H16" s="23" t="n">
        <v>0.1</v>
      </c>
      <c r="I16" s="24">
        <f>G16*H16</f>
        <v/>
      </c>
      <c r="J16" s="24">
        <f>G16+I16</f>
        <v/>
      </c>
      <c r="K16" s="25" t="n">
        <v>1540</v>
      </c>
      <c r="L16" s="24">
        <f>J16-K16</f>
        <v/>
      </c>
      <c r="M16" s="26">
        <f>IF(L16=0,"Paid",IF(TODAY()&gt;C16,"Overdue",IF(K16&gt;0,"Partial","Sent")))</f>
        <v/>
      </c>
    </row>
    <row r="17">
      <c r="A17" s="16" t="inlineStr">
        <is>
          <t>INV-016</t>
        </is>
      </c>
      <c r="B17" s="21" t="n">
        <v>45724</v>
      </c>
      <c r="C17" s="21" t="n">
        <v>46485</v>
      </c>
      <c r="D17" s="16" t="inlineStr">
        <is>
          <t>CL-008</t>
        </is>
      </c>
      <c r="E17" s="19" t="inlineStr">
        <is>
          <t>Carlos Mendez</t>
        </is>
      </c>
      <c r="F17" s="19" t="inlineStr">
        <is>
          <t>Cloud migration support</t>
        </is>
      </c>
      <c r="G17" s="22" t="n">
        <v>1200</v>
      </c>
      <c r="H17" s="23" t="n">
        <v>0.1</v>
      </c>
      <c r="I17" s="24">
        <f>G17*H17</f>
        <v/>
      </c>
      <c r="J17" s="24">
        <f>G17+I17</f>
        <v/>
      </c>
      <c r="K17" s="25" t="n">
        <v>1320</v>
      </c>
      <c r="L17" s="24">
        <f>J17-K17</f>
        <v/>
      </c>
      <c r="M17" s="26">
        <f>IF(L17=0,"Paid",IF(TODAY()&gt;C17,"Overdue",IF(K17&gt;0,"Partial","Sent")))</f>
        <v/>
      </c>
    </row>
    <row r="18">
      <c r="A18" s="16" t="inlineStr">
        <is>
          <t>INV-017</t>
        </is>
      </c>
      <c r="B18" s="21" t="n">
        <v>45728</v>
      </c>
      <c r="C18" s="21" t="n">
        <v>46489</v>
      </c>
      <c r="D18" s="16" t="inlineStr">
        <is>
          <t>CL-009</t>
        </is>
      </c>
      <c r="E18" s="19" t="inlineStr">
        <is>
          <t>Olivia Thompson</t>
        </is>
      </c>
      <c r="F18" s="19" t="inlineStr">
        <is>
          <t>Email newsletter setup</t>
        </is>
      </c>
      <c r="G18" s="22" t="n">
        <v>600</v>
      </c>
      <c r="H18" s="23" t="n">
        <v>0.1</v>
      </c>
      <c r="I18" s="24">
        <f>G18*H18</f>
        <v/>
      </c>
      <c r="J18" s="24">
        <f>G18+I18</f>
        <v/>
      </c>
      <c r="K18" s="25" t="n">
        <v>0</v>
      </c>
      <c r="L18" s="24">
        <f>J18-K18</f>
        <v/>
      </c>
      <c r="M18" s="26">
        <f>IF(L18=0,"Paid",IF(TODAY()&gt;C18,"Overdue",IF(K18&gt;0,"Partial","Sent")))</f>
        <v/>
      </c>
    </row>
    <row r="19">
      <c r="A19" s="16" t="inlineStr">
        <is>
          <t>INV-018</t>
        </is>
      </c>
      <c r="B19" s="21" t="n">
        <v>45731</v>
      </c>
      <c r="C19" s="21" t="n">
        <v>46492</v>
      </c>
      <c r="D19" s="16" t="inlineStr">
        <is>
          <t>CL-007</t>
        </is>
      </c>
      <c r="E19" s="19" t="inlineStr">
        <is>
          <t>Priya Sharma</t>
        </is>
      </c>
      <c r="F19" s="19" t="inlineStr">
        <is>
          <t>Annual bookkeeping review</t>
        </is>
      </c>
      <c r="G19" s="22" t="n">
        <v>3000</v>
      </c>
      <c r="H19" s="23" t="n">
        <v>0.1</v>
      </c>
      <c r="I19" s="24">
        <f>G19*H19</f>
        <v/>
      </c>
      <c r="J19" s="24">
        <f>G19+I19</f>
        <v/>
      </c>
      <c r="K19" s="25" t="n">
        <v>0</v>
      </c>
      <c r="L19" s="24">
        <f>J19-K19</f>
        <v/>
      </c>
      <c r="M19" s="26">
        <f>IF(L19=0,"Paid",IF(TODAY()&gt;C19,"Overdue",IF(K19&gt;0,"Partial","Sent")))</f>
        <v/>
      </c>
    </row>
    <row r="20">
      <c r="A20" s="16" t="inlineStr">
        <is>
          <t>INV-019</t>
        </is>
      </c>
      <c r="B20" s="21" t="n">
        <v>45734</v>
      </c>
      <c r="C20" s="21" t="n">
        <v>45765</v>
      </c>
      <c r="D20" s="16" t="inlineStr">
        <is>
          <t>CL-006</t>
        </is>
      </c>
      <c r="E20" s="19" t="inlineStr">
        <is>
          <t>James Wilson</t>
        </is>
      </c>
      <c r="F20" s="19" t="inlineStr">
        <is>
          <t>Brand guidelines document</t>
        </is>
      </c>
      <c r="G20" s="22" t="n">
        <v>2800</v>
      </c>
      <c r="H20" s="23" t="n">
        <v>0.1</v>
      </c>
      <c r="I20" s="24">
        <f>G20*H20</f>
        <v/>
      </c>
      <c r="J20" s="24">
        <f>G20+I20</f>
        <v/>
      </c>
      <c r="K20" s="25" t="n">
        <v>0</v>
      </c>
      <c r="L20" s="24">
        <f>J20-K20</f>
        <v/>
      </c>
      <c r="M20" s="26">
        <f>IF(L20=0,"Paid",IF(TODAY()&gt;C20,"Overdue",IF(K20&gt;0,"Partial","Sent")))</f>
        <v/>
      </c>
    </row>
    <row r="21">
      <c r="A21" s="16" t="inlineStr">
        <is>
          <t>INV-020</t>
        </is>
      </c>
      <c r="B21" s="21" t="n">
        <v>45738</v>
      </c>
      <c r="C21" s="21" t="n">
        <v>46499</v>
      </c>
      <c r="D21" s="16" t="inlineStr">
        <is>
          <t>CL-002</t>
        </is>
      </c>
      <c r="E21" s="19" t="inlineStr">
        <is>
          <t>Marcus Johnson</t>
        </is>
      </c>
      <c r="F21" s="19" t="inlineStr">
        <is>
          <t>Q2 consulting services</t>
        </is>
      </c>
      <c r="G21" s="22" t="n">
        <v>2000</v>
      </c>
      <c r="H21" s="23" t="n">
        <v>0.1</v>
      </c>
      <c r="I21" s="24">
        <f>G21*H21</f>
        <v/>
      </c>
      <c r="J21" s="24">
        <f>G21+I21</f>
        <v/>
      </c>
      <c r="K21" s="25" t="n">
        <v>1100</v>
      </c>
      <c r="L21" s="24">
        <f>J21-K21</f>
        <v/>
      </c>
      <c r="M21" s="26">
        <f>IF(L21=0,"Paid",IF(TODAY()&gt;C21,"Overdue",IF(K21&gt;0,"Partial","Sent")))</f>
        <v/>
      </c>
    </row>
    <row r="22">
      <c r="A22" s="16" t="inlineStr">
        <is>
          <t>INV-021</t>
        </is>
      </c>
      <c r="B22" s="21" t="n">
        <v>45741</v>
      </c>
      <c r="C22" s="21" t="n">
        <v>46502</v>
      </c>
      <c r="D22" s="16" t="inlineStr">
        <is>
          <t>CL-003</t>
        </is>
      </c>
      <c r="E22" s="19" t="inlineStr">
        <is>
          <t>Elena Rodriguez</t>
        </is>
      </c>
      <c r="F22" s="19" t="inlineStr">
        <is>
          <t>Performance optimization</t>
        </is>
      </c>
      <c r="G22" s="22" t="n">
        <v>1700</v>
      </c>
      <c r="H22" s="23" t="n">
        <v>0.1</v>
      </c>
      <c r="I22" s="24">
        <f>G22*H22</f>
        <v/>
      </c>
      <c r="J22" s="24">
        <f>G22+I22</f>
        <v/>
      </c>
      <c r="K22" s="25" t="n">
        <v>0</v>
      </c>
      <c r="L22" s="24">
        <f>J22-K22</f>
        <v/>
      </c>
      <c r="M22" s="26">
        <f>IF(L22=0,"Paid",IF(TODAY()&gt;C22,"Overdue",IF(K22&gt;0,"Partial","Sent")))</f>
        <v/>
      </c>
    </row>
    <row r="23">
      <c r="A23" s="16" t="inlineStr">
        <is>
          <t>INV-022</t>
        </is>
      </c>
      <c r="B23" s="21" t="n">
        <v>45744</v>
      </c>
      <c r="C23" s="21" t="n">
        <v>46505</v>
      </c>
      <c r="D23" s="16" t="inlineStr">
        <is>
          <t>CL-004</t>
        </is>
      </c>
      <c r="E23" s="19" t="inlineStr">
        <is>
          <t>David Kim</t>
        </is>
      </c>
      <c r="F23" s="19" t="inlineStr">
        <is>
          <t>Content marketing plan</t>
        </is>
      </c>
      <c r="G23" s="22" t="n">
        <v>1500</v>
      </c>
      <c r="H23" s="23" t="n">
        <v>0.1</v>
      </c>
      <c r="I23" s="24">
        <f>G23*H23</f>
        <v/>
      </c>
      <c r="J23" s="24">
        <f>G23+I23</f>
        <v/>
      </c>
      <c r="K23" s="25" t="n">
        <v>0</v>
      </c>
      <c r="L23" s="24">
        <f>J23-K23</f>
        <v/>
      </c>
      <c r="M23" s="26">
        <f>IF(L23=0,"Paid",IF(TODAY()&gt;C23,"Overdue",IF(K23&gt;0,"Partial","Sent")))</f>
        <v/>
      </c>
    </row>
    <row r="24">
      <c r="A24" s="16" t="inlineStr">
        <is>
          <t>INV-023</t>
        </is>
      </c>
      <c r="B24" s="21" t="n">
        <v>45748</v>
      </c>
      <c r="C24" s="21" t="n">
        <v>46508</v>
      </c>
      <c r="D24" s="16" t="inlineStr">
        <is>
          <t>CL-005</t>
        </is>
      </c>
      <c r="E24" s="19" t="inlineStr">
        <is>
          <t>Aisha Patel</t>
        </is>
      </c>
      <c r="F24" s="19" t="inlineStr">
        <is>
          <t>CRM implementation</t>
        </is>
      </c>
      <c r="G24" s="22" t="n">
        <v>2600</v>
      </c>
      <c r="H24" s="23" t="n">
        <v>0.1</v>
      </c>
      <c r="I24" s="24">
        <f>G24*H24</f>
        <v/>
      </c>
      <c r="J24" s="24">
        <f>G24+I24</f>
        <v/>
      </c>
      <c r="K24" s="25" t="n">
        <v>1430</v>
      </c>
      <c r="L24" s="24">
        <f>J24-K24</f>
        <v/>
      </c>
      <c r="M24" s="26">
        <f>IF(L24=0,"Paid",IF(TODAY()&gt;C24,"Overdue",IF(K24&gt;0,"Partial","Sent")))</f>
        <v/>
      </c>
    </row>
    <row r="25">
      <c r="A25" s="16" t="inlineStr">
        <is>
          <t>INV-024</t>
        </is>
      </c>
      <c r="B25" s="21" t="n">
        <v>45752</v>
      </c>
      <c r="C25" s="21" t="n">
        <v>46512</v>
      </c>
      <c r="D25" s="16" t="inlineStr">
        <is>
          <t>CL-001</t>
        </is>
      </c>
      <c r="E25" s="19" t="inlineStr">
        <is>
          <t>Sarah Chen</t>
        </is>
      </c>
      <c r="F25" s="19" t="inlineStr">
        <is>
          <t>Product packaging design</t>
        </is>
      </c>
      <c r="G25" s="22" t="n">
        <v>1800</v>
      </c>
      <c r="H25" s="23" t="n">
        <v>0.1</v>
      </c>
      <c r="I25" s="24">
        <f>G25*H25</f>
        <v/>
      </c>
      <c r="J25" s="24">
        <f>G25+I25</f>
        <v/>
      </c>
      <c r="K25" s="25" t="n">
        <v>0</v>
      </c>
      <c r="L25" s="24">
        <f>J25-K25</f>
        <v/>
      </c>
      <c r="M25" s="26">
        <f>IF(L25=0,"Paid",IF(TODAY()&gt;C25,"Overdue",IF(K25&gt;0,"Partial","Sent")))</f>
        <v/>
      </c>
    </row>
    <row r="26">
      <c r="A26" s="16" t="inlineStr">
        <is>
          <t>INV-025</t>
        </is>
      </c>
      <c r="B26" s="21" t="n">
        <v>45755</v>
      </c>
      <c r="C26" s="21" t="n">
        <v>46515</v>
      </c>
      <c r="D26" s="16" t="inlineStr">
        <is>
          <t>CL-008</t>
        </is>
      </c>
      <c r="E26" s="19" t="inlineStr">
        <is>
          <t>Carlos Mendez</t>
        </is>
      </c>
      <c r="F26" s="19" t="inlineStr">
        <is>
          <t>Server maintenance contract</t>
        </is>
      </c>
      <c r="G26" s="22" t="n">
        <v>800</v>
      </c>
      <c r="H26" s="23" t="n">
        <v>0.1</v>
      </c>
      <c r="I26" s="24">
        <f>G26*H26</f>
        <v/>
      </c>
      <c r="J26" s="24">
        <f>G26+I26</f>
        <v/>
      </c>
      <c r="K26" s="25" t="n">
        <v>0</v>
      </c>
      <c r="L26" s="24">
        <f>J26-K26</f>
        <v/>
      </c>
      <c r="M26" s="26">
        <f>IF(L26=0,"Paid",IF(TODAY()&gt;C26,"Overdue",IF(K26&gt;0,"Partial","Sent")))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0" customWidth="1" min="5" max="5"/>
    <col width="14" customWidth="1" min="6" max="6"/>
    <col width="30" customWidth="1" min="7" max="7"/>
  </cols>
  <sheetData>
    <row r="1">
      <c r="A1" s="20" t="inlineStr">
        <is>
          <t>Payment ID</t>
        </is>
      </c>
      <c r="B1" s="20" t="inlineStr">
        <is>
          <t>Invoice ID</t>
        </is>
      </c>
      <c r="C1" s="20" t="inlineStr">
        <is>
          <t>Client Name</t>
        </is>
      </c>
      <c r="D1" s="20" t="inlineStr">
        <is>
          <t>Payment Date</t>
        </is>
      </c>
      <c r="E1" s="20" t="inlineStr">
        <is>
          <t>Payment Method</t>
        </is>
      </c>
      <c r="F1" s="20" t="inlineStr">
        <is>
          <t>Amount</t>
        </is>
      </c>
      <c r="G1" s="20" t="inlineStr">
        <is>
          <t>Notes</t>
        </is>
      </c>
    </row>
    <row r="2">
      <c r="A2" s="16" t="inlineStr">
        <is>
          <t>PAY-001</t>
        </is>
      </c>
      <c r="B2" s="16" t="inlineStr">
        <is>
          <t>INV-001</t>
        </is>
      </c>
      <c r="C2" s="19" t="inlineStr">
        <is>
          <t>Sarah Chen</t>
        </is>
      </c>
      <c r="D2" s="21" t="n">
        <v>45677</v>
      </c>
      <c r="E2" s="27" t="inlineStr">
        <is>
          <t>Bank Transfer</t>
        </is>
      </c>
      <c r="F2" s="22" t="n">
        <v>1650</v>
      </c>
      <c r="G2" s="19" t="inlineStr">
        <is>
          <t>Full payment</t>
        </is>
      </c>
    </row>
    <row r="3">
      <c r="A3" s="16" t="inlineStr">
        <is>
          <t>PAY-002</t>
        </is>
      </c>
      <c r="B3" s="16" t="inlineStr">
        <is>
          <t>INV-002</t>
        </is>
      </c>
      <c r="C3" s="19" t="inlineStr">
        <is>
          <t>Marcus Johnson</t>
        </is>
      </c>
      <c r="D3" s="21" t="n">
        <v>45682</v>
      </c>
      <c r="E3" s="27" t="inlineStr">
        <is>
          <t>PayPal</t>
        </is>
      </c>
      <c r="F3" s="22" t="n">
        <v>2750</v>
      </c>
      <c r="G3" s="19" t="inlineStr">
        <is>
          <t>Invoice paid via PayPal</t>
        </is>
      </c>
    </row>
    <row r="4">
      <c r="A4" s="16" t="inlineStr">
        <is>
          <t>PAY-003</t>
        </is>
      </c>
      <c r="B4" s="16" t="inlineStr">
        <is>
          <t>INV-003</t>
        </is>
      </c>
      <c r="C4" s="19" t="inlineStr">
        <is>
          <t>Elena Rodriguez</t>
        </is>
      </c>
      <c r="D4" s="21" t="n">
        <v>45689</v>
      </c>
      <c r="E4" s="27" t="inlineStr">
        <is>
          <t>Bank Transfer</t>
        </is>
      </c>
      <c r="F4" s="22" t="n">
        <v>1980</v>
      </c>
      <c r="G4" s="19" t="inlineStr">
        <is>
          <t>Wire transfer</t>
        </is>
      </c>
    </row>
    <row r="5">
      <c r="A5" s="16" t="inlineStr">
        <is>
          <t>PAY-004</t>
        </is>
      </c>
      <c r="B5" s="16" t="inlineStr">
        <is>
          <t>INV-004</t>
        </is>
      </c>
      <c r="C5" s="19" t="inlineStr">
        <is>
          <t>David Kim</t>
        </is>
      </c>
      <c r="D5" s="21" t="n">
        <v>45693</v>
      </c>
      <c r="E5" s="27" t="inlineStr">
        <is>
          <t>Cheque</t>
        </is>
      </c>
      <c r="F5" s="22" t="n">
        <v>3520</v>
      </c>
      <c r="G5" s="19" t="inlineStr">
        <is>
          <t>Cheque received</t>
        </is>
      </c>
    </row>
    <row r="6">
      <c r="A6" s="16" t="inlineStr">
        <is>
          <t>PAY-005</t>
        </is>
      </c>
      <c r="B6" s="16" t="inlineStr">
        <is>
          <t>INV-005</t>
        </is>
      </c>
      <c r="C6" s="19" t="inlineStr">
        <is>
          <t>Aisha Patel</t>
        </is>
      </c>
      <c r="D6" s="21" t="n">
        <v>45698</v>
      </c>
      <c r="E6" s="27" t="inlineStr">
        <is>
          <t>Bank Transfer</t>
        </is>
      </c>
      <c r="F6" s="22" t="n">
        <v>2310</v>
      </c>
      <c r="G6" s="19" t="inlineStr">
        <is>
          <t>Direct deposit</t>
        </is>
      </c>
    </row>
    <row r="7">
      <c r="A7" s="16" t="inlineStr">
        <is>
          <t>PAY-006</t>
        </is>
      </c>
      <c r="B7" s="16" t="inlineStr">
        <is>
          <t>INV-006</t>
        </is>
      </c>
      <c r="C7" s="19" t="inlineStr">
        <is>
          <t>James Wilson</t>
        </is>
      </c>
      <c r="D7" s="21" t="n">
        <v>45703</v>
      </c>
      <c r="E7" s="27" t="inlineStr">
        <is>
          <t>PayPal</t>
        </is>
      </c>
      <c r="F7" s="22" t="n">
        <v>2200</v>
      </c>
      <c r="G7" s="19" t="inlineStr">
        <is>
          <t>Partial payment - Q1 campaign</t>
        </is>
      </c>
    </row>
    <row r="8">
      <c r="A8" s="16" t="inlineStr">
        <is>
          <t>PAY-007</t>
        </is>
      </c>
      <c r="B8" s="16" t="inlineStr">
        <is>
          <t>INV-007</t>
        </is>
      </c>
      <c r="C8" s="19" t="inlineStr">
        <is>
          <t>Sarah Chen</t>
        </is>
      </c>
      <c r="D8" s="21" t="n">
        <v>45708</v>
      </c>
      <c r="E8" s="27" t="inlineStr">
        <is>
          <t>Bank Transfer</t>
        </is>
      </c>
      <c r="F8" s="22" t="n">
        <v>1760</v>
      </c>
      <c r="G8" s="19" t="inlineStr">
        <is>
          <t>Full payment</t>
        </is>
      </c>
    </row>
    <row r="9">
      <c r="A9" s="16" t="inlineStr">
        <is>
          <t>PAY-008</t>
        </is>
      </c>
      <c r="B9" s="16" t="inlineStr">
        <is>
          <t>INV-008</t>
        </is>
      </c>
      <c r="C9" s="19" t="inlineStr">
        <is>
          <t>Carlos Mendez</t>
        </is>
      </c>
      <c r="D9" s="21" t="n">
        <v>45717</v>
      </c>
      <c r="E9" s="27" t="inlineStr">
        <is>
          <t>Cash</t>
        </is>
      </c>
      <c r="F9" s="22" t="n">
        <v>1045</v>
      </c>
      <c r="G9" s="19" t="inlineStr">
        <is>
          <t>Paid in cash</t>
        </is>
      </c>
    </row>
    <row r="10">
      <c r="A10" s="16" t="inlineStr">
        <is>
          <t>PAY-009</t>
        </is>
      </c>
      <c r="B10" s="16" t="inlineStr">
        <is>
          <t>INV-009</t>
        </is>
      </c>
      <c r="C10" s="19" t="inlineStr">
        <is>
          <t>Olivia Thompson</t>
        </is>
      </c>
      <c r="D10" s="21" t="n">
        <v>45721</v>
      </c>
      <c r="E10" s="27" t="inlineStr">
        <is>
          <t>Bank Transfer</t>
        </is>
      </c>
      <c r="F10" s="22" t="n">
        <v>825</v>
      </c>
      <c r="G10" s="19" t="inlineStr">
        <is>
          <t>Full payment</t>
        </is>
      </c>
    </row>
    <row r="11">
      <c r="A11" s="16" t="inlineStr">
        <is>
          <t>PAY-010</t>
        </is>
      </c>
      <c r="B11" s="16" t="inlineStr">
        <is>
          <t>INV-010</t>
        </is>
      </c>
      <c r="C11" s="19" t="inlineStr">
        <is>
          <t>Marcus Johnson</t>
        </is>
      </c>
      <c r="D11" s="21" t="n">
        <v>45717</v>
      </c>
      <c r="E11" s="27" t="inlineStr">
        <is>
          <t>PayPal</t>
        </is>
      </c>
      <c r="F11" s="22" t="n">
        <v>1400</v>
      </c>
      <c r="G11" s="19" t="inlineStr">
        <is>
          <t>Partial - dispute on remaining</t>
        </is>
      </c>
    </row>
    <row r="12">
      <c r="A12" s="16" t="inlineStr">
        <is>
          <t>PAY-011</t>
        </is>
      </c>
      <c r="B12" s="16" t="inlineStr">
        <is>
          <t>INV-015</t>
        </is>
      </c>
      <c r="C12" s="19" t="inlineStr">
        <is>
          <t>Sarah Chen</t>
        </is>
      </c>
      <c r="D12" s="21" t="n">
        <v>46096</v>
      </c>
      <c r="E12" s="27" t="inlineStr">
        <is>
          <t>Bank Transfer</t>
        </is>
      </c>
      <c r="F12" s="22" t="n">
        <v>1540</v>
      </c>
      <c r="G12" s="19" t="inlineStr">
        <is>
          <t>Full payment received</t>
        </is>
      </c>
    </row>
    <row r="13">
      <c r="A13" s="16" t="inlineStr">
        <is>
          <t>PAY-012</t>
        </is>
      </c>
      <c r="B13" s="16" t="inlineStr">
        <is>
          <t>INV-016</t>
        </is>
      </c>
      <c r="C13" s="19" t="inlineStr">
        <is>
          <t>Carlos Mendez</t>
        </is>
      </c>
      <c r="D13" s="21" t="n">
        <v>46101</v>
      </c>
      <c r="E13" s="27" t="inlineStr">
        <is>
          <t>Bank Transfer</t>
        </is>
      </c>
      <c r="F13" s="22" t="n">
        <v>1320</v>
      </c>
      <c r="G13" s="19" t="inlineStr">
        <is>
          <t>Full payment</t>
        </is>
      </c>
    </row>
    <row r="14">
      <c r="A14" s="16" t="inlineStr">
        <is>
          <t>PAY-013</t>
        </is>
      </c>
      <c r="B14" s="16" t="inlineStr">
        <is>
          <t>INV-020</t>
        </is>
      </c>
      <c r="C14" s="19" t="inlineStr">
        <is>
          <t>Marcus Johnson</t>
        </is>
      </c>
      <c r="D14" s="21" t="n">
        <v>46113</v>
      </c>
      <c r="E14" s="27" t="inlineStr">
        <is>
          <t>Credit Card</t>
        </is>
      </c>
      <c r="F14" s="22" t="n">
        <v>1100</v>
      </c>
      <c r="G14" s="19" t="inlineStr">
        <is>
          <t>Partial payment</t>
        </is>
      </c>
    </row>
    <row r="15">
      <c r="A15" s="16" t="inlineStr">
        <is>
          <t>PAY-014</t>
        </is>
      </c>
      <c r="B15" s="16" t="inlineStr">
        <is>
          <t>INV-023</t>
        </is>
      </c>
      <c r="C15" s="19" t="inlineStr">
        <is>
          <t>Aisha Patel</t>
        </is>
      </c>
      <c r="D15" s="21" t="n">
        <v>46122</v>
      </c>
      <c r="E15" s="27" t="inlineStr">
        <is>
          <t>PayPal</t>
        </is>
      </c>
      <c r="F15" s="22" t="n">
        <v>1430</v>
      </c>
      <c r="G15" s="19" t="inlineStr">
        <is>
          <t>Partial payment</t>
        </is>
      </c>
    </row>
    <row r="16">
      <c r="A16" s="16" t="inlineStr">
        <is>
          <t>PAY-015</t>
        </is>
      </c>
      <c r="B16" s="16" t="inlineStr">
        <is>
          <t>INV-014</t>
        </is>
      </c>
      <c r="C16" s="19" t="inlineStr">
        <is>
          <t>Aisha Patel</t>
        </is>
      </c>
      <c r="D16" s="21" t="n">
        <v>45731</v>
      </c>
      <c r="E16" s="27" t="inlineStr">
        <is>
          <t>Bank Transfer</t>
        </is>
      </c>
      <c r="F16" s="22" t="n">
        <v>1210</v>
      </c>
      <c r="G16" s="19" t="inlineStr">
        <is>
          <t>Partial payment</t>
        </is>
      </c>
    </row>
  </sheetData>
  <dataValidations count="1">
    <dataValidation sqref="E2:E16" showDropDown="0" showInputMessage="0" showErrorMessage="0" allowBlank="1" errorTitle="Invalid Payment Method" error="Please select a valid payment method" type="list">
      <formula1>Settings!$C$7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8" t="inlineStr">
        <is>
          <t>INVOICE</t>
        </is>
      </c>
    </row>
    <row r="3">
      <c r="A3" s="7" t="inlineStr">
        <is>
          <t>Invoice Number:</t>
        </is>
      </c>
      <c r="B3" s="29" t="inlineStr">
        <is>
          <t>INV-001</t>
        </is>
      </c>
      <c r="C3" s="7" t="inlineStr">
        <is>
          <t>Invoice Date:</t>
        </is>
      </c>
      <c r="D3" s="30" t="n">
        <v>45809</v>
      </c>
    </row>
    <row r="4">
      <c r="A4" s="7" t="inlineStr"/>
      <c r="C4" s="7" t="inlineStr">
        <is>
          <t>Due Date:</t>
        </is>
      </c>
      <c r="D4" s="30" t="n">
        <v>45839</v>
      </c>
    </row>
    <row r="6">
      <c r="A6" s="3" t="inlineStr">
        <is>
          <t>From</t>
        </is>
      </c>
      <c r="B6" s="4" t="n"/>
      <c r="C6" s="4" t="n"/>
      <c r="D6" s="4" t="n"/>
    </row>
    <row r="7">
      <c r="A7" s="7" t="inlineStr">
        <is>
          <t>Your Name / Company:</t>
        </is>
      </c>
      <c r="B7" s="29" t="inlineStr">
        <is>
          <t>Your Company Name</t>
        </is>
      </c>
      <c r="C7" s="14" t="n"/>
      <c r="D7" s="11" t="n"/>
    </row>
    <row r="8">
      <c r="A8" s="7" t="inlineStr">
        <is>
          <t>Your Address:</t>
        </is>
      </c>
      <c r="B8" s="29" t="inlineStr">
        <is>
          <t>123 Business St, City, State ZIP</t>
        </is>
      </c>
      <c r="C8" s="14" t="n"/>
      <c r="D8" s="11" t="n"/>
    </row>
    <row r="9">
      <c r="A9" s="3" t="inlineStr">
        <is>
          <t>Bill To</t>
        </is>
      </c>
      <c r="B9" s="4" t="n"/>
      <c r="C9" s="4" t="n"/>
      <c r="D9" s="4" t="n"/>
    </row>
    <row r="10">
      <c r="A10" s="7" t="inlineStr">
        <is>
          <t>Client Name:</t>
        </is>
      </c>
      <c r="B10" s="29" t="inlineStr">
        <is>
          <t>Sarah Chen</t>
        </is>
      </c>
      <c r="C10" s="14" t="n"/>
      <c r="D10" s="11" t="n"/>
    </row>
    <row r="11">
      <c r="A11" s="7" t="inlineStr">
        <is>
          <t>Company:</t>
        </is>
      </c>
      <c r="B11" s="29" t="inlineStr">
        <is>
          <t>Chen Design Studio</t>
        </is>
      </c>
      <c r="C11" s="14" t="n"/>
      <c r="D11" s="11" t="n"/>
    </row>
    <row r="12">
      <c r="A12" s="7" t="inlineStr">
        <is>
          <t>Address:</t>
        </is>
      </c>
      <c r="B12" s="29" t="inlineStr">
        <is>
          <t>123 Design St, San Francisco, CA 94102</t>
        </is>
      </c>
      <c r="C12" s="14" t="n"/>
      <c r="D12" s="11" t="n"/>
    </row>
    <row r="14">
      <c r="A14" s="3" t="inlineStr">
        <is>
          <t>Line Items</t>
        </is>
      </c>
      <c r="B14" s="4" t="n"/>
      <c r="C14" s="4" t="n"/>
      <c r="D14" s="4" t="n"/>
    </row>
    <row r="15">
      <c r="A15" s="20" t="inlineStr">
        <is>
          <t>#</t>
        </is>
      </c>
      <c r="B15" s="20" t="inlineStr">
        <is>
          <t>Description</t>
        </is>
      </c>
      <c r="C15" s="20" t="inlineStr">
        <is>
          <t>Quantity</t>
        </is>
      </c>
      <c r="D15" s="20" t="inlineStr">
        <is>
          <t>Rate</t>
        </is>
      </c>
      <c r="E15" s="20" t="inlineStr">
        <is>
          <t>Amount</t>
        </is>
      </c>
    </row>
    <row r="16">
      <c r="A16" s="16" t="n">
        <v>1</v>
      </c>
      <c r="B16" s="19" t="inlineStr">
        <is>
          <t>Web design services</t>
        </is>
      </c>
      <c r="C16" s="27" t="n">
        <v>40</v>
      </c>
      <c r="D16" s="25" t="n">
        <v>75</v>
      </c>
      <c r="E16" s="24">
        <f>C16*D16</f>
        <v/>
      </c>
    </row>
    <row r="17">
      <c r="A17" s="16" t="n">
        <v>2</v>
      </c>
      <c r="B17" s="19" t="inlineStr">
        <is>
          <t>UI/UX consultation</t>
        </is>
      </c>
      <c r="C17" s="27" t="n">
        <v>10</v>
      </c>
      <c r="D17" s="25" t="n">
        <v>150</v>
      </c>
      <c r="E17" s="24">
        <f>C17*D17</f>
        <v/>
      </c>
    </row>
    <row r="18">
      <c r="A18" s="16" t="n">
        <v>3</v>
      </c>
      <c r="B18" s="19" t="inlineStr">
        <is>
          <t>Project management</t>
        </is>
      </c>
      <c r="C18" s="27" t="n">
        <v>5</v>
      </c>
      <c r="D18" s="25" t="n">
        <v>100</v>
      </c>
      <c r="E18" s="24">
        <f>C18*D18</f>
        <v/>
      </c>
    </row>
    <row r="19">
      <c r="A19" s="31" t="n"/>
      <c r="B19" s="31" t="n"/>
      <c r="C19" s="31" t="n"/>
      <c r="D19" s="31" t="n"/>
      <c r="E19" s="32">
        <f>C19*D19</f>
        <v/>
      </c>
    </row>
    <row r="20">
      <c r="A20" s="31" t="n"/>
      <c r="B20" s="31" t="n"/>
      <c r="C20" s="31" t="n"/>
      <c r="D20" s="31" t="n"/>
      <c r="E20" s="32">
        <f>C20*D20</f>
        <v/>
      </c>
    </row>
    <row r="21">
      <c r="A21" s="31" t="n"/>
      <c r="B21" s="31" t="n"/>
      <c r="C21" s="31" t="n"/>
      <c r="D21" s="31" t="n"/>
      <c r="E21" s="32">
        <f>C21*D21</f>
        <v/>
      </c>
    </row>
    <row r="22">
      <c r="A22" s="3" t="inlineStr">
        <is>
          <t>Summary</t>
        </is>
      </c>
      <c r="B22" s="4" t="n"/>
      <c r="C22" s="4" t="n"/>
      <c r="D22" s="4" t="n"/>
      <c r="E22" s="4" t="n"/>
    </row>
    <row r="23">
      <c r="A23" s="33" t="inlineStr">
        <is>
          <t>Subtotal:</t>
        </is>
      </c>
      <c r="D23" s="34">
        <f>SUM(E16:E20)</f>
        <v/>
      </c>
    </row>
    <row r="24">
      <c r="A24" s="33" t="inlineStr">
        <is>
          <t>Tax Rate:</t>
        </is>
      </c>
      <c r="D24" s="23" t="n">
        <v>0.1</v>
      </c>
    </row>
    <row r="25">
      <c r="A25" s="33" t="inlineStr">
        <is>
          <t>Tax Amount:</t>
        </is>
      </c>
      <c r="D25" s="34">
        <f>D24*D23</f>
        <v/>
      </c>
    </row>
    <row r="26">
      <c r="A26" s="35" t="inlineStr">
        <is>
          <t>Total:</t>
        </is>
      </c>
      <c r="B26" s="36" t="n"/>
      <c r="C26" s="36" t="n"/>
      <c r="D26" s="37">
        <f>D24+D25</f>
        <v/>
      </c>
      <c r="E26" s="36" t="n"/>
    </row>
    <row r="28">
      <c r="A28" s="3" t="inlineStr">
        <is>
          <t>Payment Instructions</t>
        </is>
      </c>
      <c r="B28" s="4" t="n"/>
      <c r="C28" s="4" t="n"/>
      <c r="D28" s="4" t="n"/>
      <c r="E28" s="4" t="n"/>
    </row>
    <row r="29">
      <c r="A29" s="38" t="inlineStr">
        <is>
          <t>Payment Methods Accepted: Bank Transfer, PayPal, Credit Card</t>
        </is>
      </c>
    </row>
    <row r="30">
      <c r="A30" s="38" t="inlineStr">
        <is>
          <t>Payment Terms: Payment due within 30 days of invoice date.</t>
        </is>
      </c>
    </row>
  </sheetData>
  <mergeCells count="20">
    <mergeCell ref="A30:E30"/>
    <mergeCell ref="B11:D11"/>
    <mergeCell ref="A25:C25"/>
    <mergeCell ref="B8:D8"/>
    <mergeCell ref="A26:C26"/>
    <mergeCell ref="B10:D10"/>
    <mergeCell ref="A9:D9"/>
    <mergeCell ref="A23:C23"/>
    <mergeCell ref="A1:D1"/>
    <mergeCell ref="A6:D6"/>
    <mergeCell ref="B7:D7"/>
    <mergeCell ref="A22:E22"/>
    <mergeCell ref="A24:C24"/>
    <mergeCell ref="D25:E25"/>
    <mergeCell ref="A29:E29"/>
    <mergeCell ref="A28:E28"/>
    <mergeCell ref="D23:E23"/>
    <mergeCell ref="B12:D12"/>
    <mergeCell ref="D26:E26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Settings</t>
        </is>
      </c>
    </row>
    <row r="2">
      <c r="A2" s="2" t="inlineStr">
        <is>
          <t>Edit values below to customize your workbook.</t>
        </is>
      </c>
    </row>
    <row r="4">
      <c r="A4" s="3" t="inlineStr">
        <is>
          <t>General Settings</t>
        </is>
      </c>
      <c r="B4" s="4" t="n"/>
    </row>
    <row r="5">
      <c r="A5" s="15" t="inlineStr">
        <is>
          <t>Currency Symbol</t>
        </is>
      </c>
      <c r="B5" s="39" t="inlineStr">
        <is>
          <t>$</t>
        </is>
      </c>
    </row>
    <row r="6">
      <c r="A6" s="15" t="inlineStr">
        <is>
          <t>Default Tax Rate</t>
        </is>
      </c>
      <c r="B6" s="23" t="n">
        <v>0.1</v>
      </c>
    </row>
    <row r="8">
      <c r="A8" s="3" t="inlineStr">
        <is>
          <t>Invoice Status Values</t>
        </is>
      </c>
      <c r="B8" s="4" t="n"/>
    </row>
    <row r="9">
      <c r="A9" s="15" t="inlineStr">
        <is>
          <t>Status</t>
        </is>
      </c>
    </row>
    <row r="10">
      <c r="A10" s="16" t="inlineStr">
        <is>
          <t>Sent</t>
        </is>
      </c>
    </row>
    <row r="11">
      <c r="A11" s="16" t="inlineStr">
        <is>
          <t>Partial</t>
        </is>
      </c>
    </row>
    <row r="12">
      <c r="A12" s="16" t="inlineStr">
        <is>
          <t>Paid</t>
        </is>
      </c>
    </row>
    <row r="13">
      <c r="A13" s="16" t="inlineStr">
        <is>
          <t>Overdue</t>
        </is>
      </c>
    </row>
    <row r="14">
      <c r="A14" s="16" t="inlineStr">
        <is>
          <t>Draft</t>
        </is>
      </c>
    </row>
    <row r="16">
      <c r="A16" s="3" t="inlineStr">
        <is>
          <t>Payment Method Values</t>
        </is>
      </c>
      <c r="B16" s="4" t="n"/>
    </row>
    <row r="17">
      <c r="A17" s="15" t="inlineStr">
        <is>
          <t>Payment Method</t>
        </is>
      </c>
    </row>
    <row r="18">
      <c r="A18" s="16" t="inlineStr">
        <is>
          <t>Bank Transfer</t>
        </is>
      </c>
    </row>
    <row r="19">
      <c r="A19" s="16" t="inlineStr">
        <is>
          <t>PayPal</t>
        </is>
      </c>
    </row>
    <row r="20">
      <c r="A20" s="16" t="inlineStr">
        <is>
          <t>Cash</t>
        </is>
      </c>
    </row>
    <row r="21">
      <c r="A21" s="16" t="inlineStr">
        <is>
          <t>Cheque</t>
        </is>
      </c>
    </row>
    <row r="22">
      <c r="A22" s="16" t="inlineStr">
        <is>
          <t>Credit Card</t>
        </is>
      </c>
    </row>
    <row r="23">
      <c r="A23" s="16" t="inlineStr">
        <is>
          <t>Other</t>
        </is>
      </c>
    </row>
    <row r="25">
      <c r="A25" s="3" t="inlineStr">
        <is>
          <t>Client Status Values</t>
        </is>
      </c>
      <c r="B25" s="4" t="n"/>
    </row>
    <row r="26">
      <c r="A26" s="15" t="inlineStr">
        <is>
          <t>Status</t>
        </is>
      </c>
    </row>
    <row r="27">
      <c r="A27" s="16" t="inlineStr">
        <is>
          <t>Active</t>
        </is>
      </c>
    </row>
    <row r="28">
      <c r="A28" s="16" t="inlineStr">
        <is>
          <t>Inactive</t>
        </is>
      </c>
    </row>
    <row r="29">
      <c r="A29" s="16" t="inlineStr">
        <is>
          <t>Archived</t>
        </is>
      </c>
    </row>
  </sheetData>
  <mergeCells count="6">
    <mergeCell ref="A4:B4"/>
    <mergeCell ref="A16:B16"/>
    <mergeCell ref="A2:B2"/>
    <mergeCell ref="A25:B25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2026-06-07T09:18:52Z</dcterms:created>
  <dcterms:modified xmlns:dcterms="http://purl.org/dc/terms/" xmlns:xsi="http://www.w3.org/2001/XMLSchema-instance" xsi:type="dcterms:W3CDTF">2026-06-07T09:18:52Z</dcterms:modified>
</cp:coreProperties>
</file>